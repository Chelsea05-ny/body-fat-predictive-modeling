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lseatanchez/Downloads/"/>
    </mc:Choice>
  </mc:AlternateContent>
  <xr:revisionPtr revIDLastSave="0" documentId="8_{B593FFBC-E563-0045-9324-80E51F12343A}" xr6:coauthVersionLast="47" xr6:coauthVersionMax="47" xr10:uidLastSave="{00000000-0000-0000-0000-000000000000}"/>
  <bookViews>
    <workbookView xWindow="3960" yWindow="660" windowWidth="21720" windowHeight="17840" firstSheet="1" activeTab="1" xr2:uid="{00000000-000D-0000-FFFF-FFFF00000000}"/>
  </bookViews>
  <sheets>
    <sheet name="Data" sheetId="1" r:id="rId1"/>
    <sheet name="Logic" sheetId="3" r:id="rId2"/>
    <sheet name="Fit" sheetId="2" r:id="rId3"/>
    <sheet name="Parsimony" sheetId="4" r:id="rId4"/>
    <sheet name="Stability" sheetId="6" r:id="rId5"/>
    <sheet name="FWSR Step 1" sheetId="7" r:id="rId6"/>
    <sheet name="FWSR Step 2" sheetId="8" r:id="rId7"/>
    <sheet name="FWSR Step 3" sheetId="9" r:id="rId8"/>
    <sheet name="FWSR Step 4" sheetId="10" r:id="rId9"/>
    <sheet name="BSWR Step 1" sheetId="11" r:id="rId10"/>
    <sheet name="BSWR Step 2" sheetId="12" r:id="rId11"/>
    <sheet name="BSWR Step 3" sheetId="13" r:id="rId12"/>
    <sheet name="BSWR Step 4" sheetId="14" r:id="rId13"/>
    <sheet name="BSWR Step 5" sheetId="15" r:id="rId14"/>
    <sheet name="BSWR Step 6" sheetId="16" r:id="rId15"/>
    <sheet name="IMPR Step 1" sheetId="17" r:id="rId16"/>
    <sheet name="IMPR Step 2" sheetId="18" r:id="rId17"/>
    <sheet name="IMPR Step 3" sheetId="19" r:id="rId18"/>
    <sheet name="IMPR Step 4" sheetId="20" r:id="rId19"/>
    <sheet name="IMPR Step 5" sheetId="21" r:id="rId20"/>
    <sheet name="IMPR Step 6" sheetId="22" r:id="rId21"/>
    <sheet name="Prediction" sheetId="23" r:id="rId22"/>
  </sheets>
  <definedNames>
    <definedName name="AbdomenCoefficient">Prediction!$C$17:$C$17</definedName>
    <definedName name="AbdomenValue">Prediction!$D$23:$D$23</definedName>
    <definedName name="Alpha">Parsimony!$C$7:$C$7</definedName>
    <definedName name="Coefficient">Prediction!$C$16:$C$18</definedName>
    <definedName name="Correlation_Matrix">Logic!$W$5:$AF$16</definedName>
    <definedName name="Intercept">Prediction!$C$15:$C$15</definedName>
    <definedName name="ThighCoefficient">Prediction!$C$18:$C$18</definedName>
    <definedName name="ThighValue">Prediction!$D$25:$D$25</definedName>
    <definedName name="WeightCoefficent">Prediction!$C$16:$C$16</definedName>
    <definedName name="WeightValue">Prediction!$D$24:$D$24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3" l="1" a="1"/>
  <c r="C27" i="23"/>
  <c r="C37" i="2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J54" i="18"/>
  <c r="J53" i="18"/>
  <c r="J52" i="18"/>
  <c r="J51" i="18"/>
  <c r="J50" i="18"/>
  <c r="J49" i="18"/>
  <c r="J48" i="18"/>
  <c r="J47" i="18"/>
  <c r="J46" i="18"/>
  <c r="J45" i="18"/>
  <c r="J44" i="18"/>
  <c r="J43" i="18"/>
  <c r="J42" i="18"/>
  <c r="J41" i="18"/>
  <c r="J40" i="18"/>
  <c r="J39" i="18"/>
  <c r="J38" i="18"/>
  <c r="J37" i="18"/>
  <c r="J36" i="18"/>
  <c r="J35" i="18"/>
  <c r="J34" i="18"/>
  <c r="J33" i="18"/>
  <c r="J32" i="18"/>
  <c r="J31" i="18"/>
  <c r="J30" i="18"/>
  <c r="J29" i="18"/>
  <c r="J28" i="18"/>
  <c r="J27" i="18"/>
  <c r="J26" i="18"/>
  <c r="J25" i="18"/>
  <c r="J24" i="18"/>
  <c r="J23" i="18"/>
  <c r="J22" i="18"/>
  <c r="J21" i="18"/>
  <c r="J20" i="18"/>
  <c r="J19" i="18"/>
  <c r="J18" i="18"/>
  <c r="J17" i="18"/>
  <c r="J16" i="18"/>
  <c r="J15" i="18"/>
  <c r="J14" i="18"/>
  <c r="J13" i="18"/>
  <c r="J12" i="18"/>
  <c r="J11" i="18"/>
  <c r="J10" i="18"/>
  <c r="J9" i="18"/>
  <c r="J8" i="18"/>
  <c r="J7" i="18"/>
  <c r="J6" i="18"/>
  <c r="J5" i="18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16" i="17"/>
  <c r="K17" i="17"/>
  <c r="K18" i="17"/>
  <c r="K19" i="17"/>
  <c r="K20" i="17"/>
  <c r="K21" i="17"/>
  <c r="K22" i="17"/>
  <c r="K6" i="17"/>
  <c r="K7" i="17"/>
  <c r="K8" i="17"/>
  <c r="K9" i="17"/>
  <c r="K10" i="17"/>
  <c r="K11" i="17"/>
  <c r="K12" i="17"/>
  <c r="K13" i="17"/>
  <c r="K14" i="17"/>
  <c r="K15" i="17"/>
  <c r="K5" i="17"/>
  <c r="E11" i="4"/>
  <c r="E12" i="4"/>
  <c r="E13" i="4"/>
  <c r="E14" i="4"/>
  <c r="E15" i="4"/>
  <c r="E16" i="4"/>
  <c r="E17" i="4"/>
  <c r="E18" i="4"/>
  <c r="E10" i="4"/>
  <c r="C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Chelsea Tanchez</author>
  </authors>
  <commentList>
    <comment ref="H9" authorId="0" shapeId="0" xr:uid="{252F22C6-FBFE-F940-8AA6-B4024683AF8F}">
      <text>
        <r>
          <rPr>
            <b/>
            <sz val="10"/>
            <color rgb="FF000000"/>
            <rFont val="Tahoma"/>
            <family val="2"/>
          </rPr>
          <t>Chelsea Tanchez: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Adjusted R^2 actually decreased, so age might not be individually significant but still contributes to the model when combined with other variables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<sst xmlns="http://schemas.openxmlformats.org/spreadsheetml/2006/main" count="1599" uniqueCount="74">
  <si>
    <t>Body Fat, Age, and Measurements of Men (n = 50, k = 8)</t>
  </si>
  <si>
    <t>Obs</t>
  </si>
  <si>
    <t>Fat%</t>
  </si>
  <si>
    <t>Age</t>
  </si>
  <si>
    <t>Weight</t>
  </si>
  <si>
    <t>Height</t>
  </si>
  <si>
    <t>Neck</t>
  </si>
  <si>
    <t>Chest</t>
  </si>
  <si>
    <t>Abdomen</t>
  </si>
  <si>
    <t>Hip</t>
  </si>
  <si>
    <t>Thigh</t>
  </si>
  <si>
    <t xml:space="preserve">Fat% and Age </t>
  </si>
  <si>
    <t>SUMMARY OUTPUT</t>
  </si>
  <si>
    <t>Correlation Matrix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</si>
  <si>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</si>
  <si>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</si>
  <si>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</si>
  <si>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</si>
  <si>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</si>
  <si>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</si>
  <si>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</si>
  <si>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</si>
  <si>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</si>
  <si>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</si>
  <si>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</si>
  <si>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</si>
  <si>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</si>
  <si>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</si>
  <si>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</si>
  <si>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</si>
  <si>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</si>
  <si>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</si>
  <si>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</si>
  <si>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</si>
  <si>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</si>
  <si>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</si>
  <si>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</si>
  <si>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Fat% and Weight</t>
  </si>
  <si>
    <t xml:space="preserve">Fat% and Height </t>
  </si>
  <si>
    <t>Fat% and Neck</t>
  </si>
  <si>
    <t>Fat% and Chest</t>
  </si>
  <si>
    <t>Fat% and Abdomen</t>
  </si>
  <si>
    <t>Fat% and Hip</t>
  </si>
  <si>
    <t>Fat% and Thigh</t>
  </si>
  <si>
    <t>F-TEST for Significance</t>
  </si>
  <si>
    <t>Calculations</t>
  </si>
  <si>
    <t>F-Critical</t>
  </si>
  <si>
    <t>F-statistic/F-calc</t>
  </si>
  <si>
    <t xml:space="preserve">Result: </t>
  </si>
  <si>
    <t>F-stat &gt; F-critical</t>
  </si>
  <si>
    <t>Interpretation</t>
  </si>
  <si>
    <t>F- calc &gt; F- critical then reject null hypothesis (H0). This means that at least one treatment is significant. </t>
  </si>
  <si>
    <t xml:space="preserve">The overall regression model shows a significant relationship between the predictors and the response variable. </t>
  </si>
  <si>
    <t>Alpha</t>
  </si>
  <si>
    <t>Less than 0.05</t>
  </si>
  <si>
    <t>N</t>
  </si>
  <si>
    <t>Y</t>
  </si>
  <si>
    <t>Results:</t>
  </si>
  <si>
    <t>Stability</t>
  </si>
  <si>
    <t>Are predictors strongly correlated to each other which affects the t-tests?</t>
  </si>
  <si>
    <t>Eliminate Chest</t>
  </si>
  <si>
    <t>Eliminate Height</t>
  </si>
  <si>
    <t>Eliminate Neck</t>
  </si>
  <si>
    <t>Eliminate Hip</t>
  </si>
  <si>
    <t>Eliminate Age</t>
  </si>
  <si>
    <t>Question</t>
  </si>
  <si>
    <t>Regression Equation:</t>
  </si>
  <si>
    <r>
      <rPr>
        <sz val="10"/>
        <color rgb="FF000000"/>
        <rFont val="Arial"/>
        <family val="2"/>
      </rPr>
      <t>β</t>
    </r>
    <r>
      <rPr>
        <vertAlign val="subscript"/>
        <sz val="10"/>
        <color rgb="FF000000"/>
        <rFont val="Arial"/>
        <family val="2"/>
      </rPr>
      <t xml:space="preserve">0 + </t>
    </r>
    <r>
      <rPr>
        <sz val="10"/>
        <color rgb="FF000000"/>
        <rFont val="Arial"/>
        <family val="2"/>
      </rPr>
      <t>β</t>
    </r>
    <r>
      <rPr>
        <vertAlign val="subscript"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X</t>
    </r>
    <r>
      <rPr>
        <vertAlign val="subscript"/>
        <sz val="10"/>
        <color rgb="FF000000"/>
        <rFont val="Arial"/>
        <family val="2"/>
      </rPr>
      <t xml:space="preserve">1 + </t>
    </r>
    <r>
      <rPr>
        <sz val="10"/>
        <color rgb="FF000000"/>
        <rFont val="Arial"/>
        <family val="2"/>
      </rPr>
      <t>β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X</t>
    </r>
    <r>
      <rPr>
        <vertAlign val="subscript"/>
        <sz val="10"/>
        <color rgb="FF000000"/>
        <rFont val="Arial"/>
        <family val="2"/>
      </rPr>
      <t xml:space="preserve">2 + </t>
    </r>
    <r>
      <rPr>
        <sz val="10"/>
        <color rgb="FF000000"/>
        <rFont val="Arial"/>
        <family val="2"/>
      </rPr>
      <t>β</t>
    </r>
    <r>
      <rPr>
        <vertAlign val="subscript"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X</t>
    </r>
    <r>
      <rPr>
        <vertAlign val="subscript"/>
        <sz val="10"/>
        <color rgb="FF000000"/>
        <rFont val="Arial"/>
        <family val="2"/>
      </rPr>
      <t>3</t>
    </r>
  </si>
  <si>
    <t>Regression Equation Information</t>
  </si>
  <si>
    <r>
      <rPr>
        <sz val="10"/>
        <color rgb="FF000000"/>
        <rFont val="Arial"/>
        <family val="2"/>
      </rPr>
      <t>ŷ = β</t>
    </r>
    <r>
      <rPr>
        <vertAlign val="subscript"/>
        <sz val="10"/>
        <color rgb="FF000000"/>
        <rFont val="Arial"/>
        <family val="2"/>
      </rPr>
      <t>0</t>
    </r>
    <r>
      <rPr>
        <sz val="10"/>
        <color rgb="FF000000"/>
        <rFont val="Arial"/>
        <family val="2"/>
      </rPr>
      <t xml:space="preserve"> + β</t>
    </r>
    <r>
      <rPr>
        <vertAlign val="subscript"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>X</t>
    </r>
    <r>
      <rPr>
        <vertAlign val="subscript"/>
        <sz val="10"/>
        <color rgb="FF000000"/>
        <rFont val="Arial"/>
        <family val="2"/>
      </rPr>
      <t>1</t>
    </r>
    <r>
      <rPr>
        <sz val="10"/>
        <color rgb="FF000000"/>
        <rFont val="Arial"/>
        <family val="2"/>
      </rPr>
      <t xml:space="preserve"> + β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X</t>
    </r>
    <r>
      <rPr>
        <vertAlign val="sub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 xml:space="preserve"> + β</t>
    </r>
    <r>
      <rPr>
        <vertAlign val="subscript"/>
        <sz val="10"/>
        <color rgb="FF000000"/>
        <rFont val="Arial"/>
        <family val="2"/>
      </rPr>
      <t>3</t>
    </r>
    <r>
      <rPr>
        <sz val="10"/>
        <color rgb="FF000000"/>
        <rFont val="Arial"/>
        <family val="2"/>
      </rPr>
      <t>X</t>
    </r>
    <r>
      <rPr>
        <vertAlign val="subscript"/>
        <sz val="10"/>
        <color rgb="FF000000"/>
        <rFont val="Arial"/>
        <family val="2"/>
      </rPr>
      <t>3</t>
    </r>
  </si>
  <si>
    <t>Given Information:</t>
  </si>
  <si>
    <t xml:space="preserve">Predictors </t>
  </si>
  <si>
    <t>Values</t>
  </si>
  <si>
    <t>Predicted Body Fat Percentage=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</si>
</sst>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_(&quot;$&quot;* #,##0_);_(&quot;$&quot;* \(#,##0\);_(&quot;$&quot;* &quot;-&quot;??_);_(@_)"/>
    <numFmt numFmtId="166" formatCode="0.0%"/>
    <numFmt numFmtId="167" formatCode="0.000"/>
  </numFmts>
  <fonts count="23" x14ac:knownFonts="1">
    <font>
      <sz val="10"/>
      <name val="Arial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  <font>
      <i/>
      <sz val="10"/>
      <name val="Arial"/>
      <family val="2"/>
    </font>
    <font>
      <sz val="20"/>
      <name val="Arial"/>
      <family val="2"/>
    </font>
    <font>
      <b/>
      <sz val="10"/>
      <name val="Arial"/>
      <family val="2"/>
    </font>
    <font>
      <sz val="2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131619"/>
      <name val="Arial"/>
      <family val="2"/>
    </font>
    <font>
      <sz val="10"/>
      <color rgb="FF000000"/>
      <name val="Arial"/>
      <family val="2"/>
    </font>
    <font>
      <sz val="11"/>
      <color rgb="FF242424"/>
      <name val="Aptos Narrow"/>
    </font>
    <font>
      <u/>
      <sz val="10"/>
      <name val="Arial"/>
      <family val="2"/>
    </font>
    <font>
      <sz val="1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vertAlign val="subscript"/>
      <sz val="10"/>
      <color rgb="FF0000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0" fillId="2" borderId="1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0" fillId="2" borderId="2" xfId="0" applyNumberForma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2" fillId="0" borderId="0" xfId="0" applyFont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4" borderId="17" xfId="0" applyFill="1" applyBorder="1"/>
    <xf numFmtId="0" fontId="0" fillId="4" borderId="18" xfId="0" applyFill="1" applyBorder="1"/>
    <xf numFmtId="0" fontId="3" fillId="4" borderId="19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0" fillId="4" borderId="20" xfId="0" applyFill="1" applyBorder="1"/>
    <xf numFmtId="0" fontId="0" fillId="4" borderId="13" xfId="0" applyFill="1" applyBorder="1"/>
    <xf numFmtId="0" fontId="3" fillId="4" borderId="21" xfId="0" applyFont="1" applyFill="1" applyBorder="1" applyAlignment="1">
      <alignment horizontal="center"/>
    </xf>
    <xf numFmtId="0" fontId="0" fillId="4" borderId="22" xfId="0" applyFill="1" applyBorder="1"/>
    <xf numFmtId="0" fontId="0" fillId="4" borderId="0" xfId="0" applyFill="1"/>
    <xf numFmtId="0" fontId="0" fillId="5" borderId="17" xfId="0" applyFill="1" applyBorder="1"/>
    <xf numFmtId="0" fontId="0" fillId="5" borderId="18" xfId="0" applyFill="1" applyBorder="1"/>
    <xf numFmtId="0" fontId="0" fillId="5" borderId="20" xfId="0" applyFill="1" applyBorder="1"/>
    <xf numFmtId="0" fontId="0" fillId="5" borderId="13" xfId="0" applyFill="1" applyBorder="1"/>
    <xf numFmtId="0" fontId="3" fillId="5" borderId="19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0" fontId="0" fillId="5" borderId="22" xfId="0" applyFill="1" applyBorder="1"/>
    <xf numFmtId="0" fontId="0" fillId="6" borderId="17" xfId="0" applyFill="1" applyBorder="1"/>
    <xf numFmtId="0" fontId="0" fillId="6" borderId="18" xfId="0" applyFill="1" applyBorder="1"/>
    <xf numFmtId="0" fontId="3" fillId="6" borderId="19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0" fillId="6" borderId="20" xfId="0" applyFill="1" applyBorder="1"/>
    <xf numFmtId="0" fontId="0" fillId="6" borderId="13" xfId="0" applyFill="1" applyBorder="1"/>
    <xf numFmtId="0" fontId="3" fillId="6" borderId="21" xfId="0" applyFont="1" applyFill="1" applyBorder="1" applyAlignment="1">
      <alignment horizontal="center"/>
    </xf>
    <xf numFmtId="0" fontId="0" fillId="6" borderId="22" xfId="0" applyFill="1" applyBorder="1"/>
    <xf numFmtId="0" fontId="0" fillId="7" borderId="17" xfId="0" applyFill="1" applyBorder="1"/>
    <xf numFmtId="0" fontId="0" fillId="7" borderId="0" xfId="0" applyFill="1"/>
    <xf numFmtId="0" fontId="0" fillId="7" borderId="18" xfId="0" applyFill="1" applyBorder="1"/>
    <xf numFmtId="0" fontId="3" fillId="7" borderId="19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0" fillId="7" borderId="20" xfId="0" applyFill="1" applyBorder="1"/>
    <xf numFmtId="0" fontId="0" fillId="7" borderId="13" xfId="0" applyFill="1" applyBorder="1"/>
    <xf numFmtId="0" fontId="3" fillId="7" borderId="21" xfId="0" applyFont="1" applyFill="1" applyBorder="1" applyAlignment="1">
      <alignment horizontal="center"/>
    </xf>
    <xf numFmtId="0" fontId="0" fillId="7" borderId="22" xfId="0" applyFill="1" applyBorder="1"/>
    <xf numFmtId="0" fontId="0" fillId="9" borderId="17" xfId="0" applyFill="1" applyBorder="1"/>
    <xf numFmtId="0" fontId="0" fillId="9" borderId="18" xfId="0" applyFill="1" applyBorder="1"/>
    <xf numFmtId="0" fontId="3" fillId="9" borderId="19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0" fillId="9" borderId="20" xfId="0" applyFill="1" applyBorder="1"/>
    <xf numFmtId="0" fontId="0" fillId="9" borderId="13" xfId="0" applyFill="1" applyBorder="1"/>
    <xf numFmtId="0" fontId="3" fillId="9" borderId="21" xfId="0" applyFont="1" applyFill="1" applyBorder="1" applyAlignment="1">
      <alignment horizontal="center"/>
    </xf>
    <xf numFmtId="0" fontId="0" fillId="9" borderId="22" xfId="0" applyFill="1" applyBorder="1"/>
    <xf numFmtId="0" fontId="0" fillId="10" borderId="17" xfId="0" applyFill="1" applyBorder="1"/>
    <xf numFmtId="0" fontId="0" fillId="10" borderId="0" xfId="0" applyFill="1"/>
    <xf numFmtId="0" fontId="0" fillId="10" borderId="18" xfId="0" applyFill="1" applyBorder="1"/>
    <xf numFmtId="0" fontId="3" fillId="10" borderId="19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0" fillId="10" borderId="20" xfId="0" applyFill="1" applyBorder="1"/>
    <xf numFmtId="0" fontId="0" fillId="10" borderId="13" xfId="0" applyFill="1" applyBorder="1"/>
    <xf numFmtId="0" fontId="3" fillId="10" borderId="21" xfId="0" applyFont="1" applyFill="1" applyBorder="1" applyAlignment="1">
      <alignment horizontal="center"/>
    </xf>
    <xf numFmtId="0" fontId="0" fillId="10" borderId="22" xfId="0" applyFill="1" applyBorder="1"/>
    <xf numFmtId="0" fontId="0" fillId="11" borderId="17" xfId="0" applyFill="1" applyBorder="1"/>
    <xf numFmtId="0" fontId="0" fillId="11" borderId="0" xfId="0" applyFill="1"/>
    <xf numFmtId="0" fontId="0" fillId="11" borderId="18" xfId="0" applyFill="1" applyBorder="1"/>
    <xf numFmtId="0" fontId="3" fillId="11" borderId="19" xfId="0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0" fillId="11" borderId="20" xfId="0" applyFill="1" applyBorder="1"/>
    <xf numFmtId="0" fontId="0" fillId="11" borderId="13" xfId="0" applyFill="1" applyBorder="1"/>
    <xf numFmtId="0" fontId="3" fillId="11" borderId="21" xfId="0" applyFont="1" applyFill="1" applyBorder="1" applyAlignment="1">
      <alignment horizontal="center"/>
    </xf>
    <xf numFmtId="0" fontId="0" fillId="11" borderId="22" xfId="0" applyFill="1" applyBorder="1"/>
    <xf numFmtId="0" fontId="0" fillId="0" borderId="23" xfId="0" applyBorder="1"/>
    <xf numFmtId="0" fontId="0" fillId="13" borderId="23" xfId="0" applyFill="1" applyBorder="1"/>
    <xf numFmtId="0" fontId="0" fillId="10" borderId="15" xfId="0" applyFill="1" applyBorder="1"/>
    <xf numFmtId="0" fontId="0" fillId="10" borderId="12" xfId="0" applyFill="1" applyBorder="1"/>
    <xf numFmtId="0" fontId="0" fillId="10" borderId="16" xfId="0" applyFill="1" applyBorder="1"/>
    <xf numFmtId="0" fontId="0" fillId="4" borderId="15" xfId="0" applyFill="1" applyBorder="1"/>
    <xf numFmtId="0" fontId="0" fillId="4" borderId="12" xfId="0" applyFill="1" applyBorder="1"/>
    <xf numFmtId="0" fontId="0" fillId="4" borderId="16" xfId="0" applyFill="1" applyBorder="1"/>
    <xf numFmtId="0" fontId="0" fillId="5" borderId="0" xfId="0" applyFill="1"/>
    <xf numFmtId="0" fontId="0" fillId="6" borderId="0" xfId="0" applyFill="1"/>
    <xf numFmtId="11" fontId="0" fillId="0" borderId="0" xfId="0" applyNumberFormat="1"/>
    <xf numFmtId="0" fontId="7" fillId="8" borderId="17" xfId="0" applyFont="1" applyFill="1" applyBorder="1"/>
    <xf numFmtId="0" fontId="7" fillId="8" borderId="0" xfId="0" applyFont="1" applyFill="1"/>
    <xf numFmtId="0" fontId="7" fillId="8" borderId="18" xfId="0" applyFont="1" applyFill="1" applyBorder="1"/>
    <xf numFmtId="0" fontId="8" fillId="8" borderId="19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0" fontId="7" fillId="8" borderId="20" xfId="0" applyFont="1" applyFill="1" applyBorder="1"/>
    <xf numFmtId="0" fontId="7" fillId="8" borderId="13" xfId="0" applyFont="1" applyFill="1" applyBorder="1"/>
    <xf numFmtId="0" fontId="8" fillId="8" borderId="21" xfId="0" applyFont="1" applyFill="1" applyBorder="1" applyAlignment="1">
      <alignment horizontal="center"/>
    </xf>
    <xf numFmtId="0" fontId="7" fillId="8" borderId="22" xfId="0" applyFont="1" applyFill="1" applyBorder="1"/>
    <xf numFmtId="0" fontId="0" fillId="9" borderId="0" xfId="0" applyFill="1"/>
    <xf numFmtId="0" fontId="9" fillId="4" borderId="0" xfId="0" applyFont="1" applyFill="1"/>
    <xf numFmtId="0" fontId="10" fillId="0" borderId="0" xfId="0" applyFont="1"/>
    <xf numFmtId="0" fontId="0" fillId="14" borderId="0" xfId="0" applyFill="1"/>
    <xf numFmtId="0" fontId="0" fillId="15" borderId="0" xfId="0" applyFill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27" xfId="0" applyBorder="1"/>
    <xf numFmtId="0" fontId="0" fillId="0" borderId="24" xfId="0" applyBorder="1"/>
    <xf numFmtId="0" fontId="0" fillId="0" borderId="28" xfId="0" applyBorder="1"/>
    <xf numFmtId="0" fontId="0" fillId="16" borderId="23" xfId="0" applyFill="1" applyBorder="1"/>
    <xf numFmtId="0" fontId="7" fillId="0" borderId="0" xfId="0" applyFont="1"/>
    <xf numFmtId="0" fontId="0" fillId="0" borderId="0" xfId="0" applyAlignment="1">
      <alignment vertical="top" wrapText="1"/>
    </xf>
    <xf numFmtId="0" fontId="11" fillId="0" borderId="0" xfId="0" applyFont="1" applyAlignment="1">
      <alignment wrapText="1"/>
    </xf>
    <xf numFmtId="0" fontId="0" fillId="0" borderId="25" xfId="0" applyBorder="1"/>
    <xf numFmtId="0" fontId="0" fillId="17" borderId="0" xfId="0" applyFill="1"/>
    <xf numFmtId="0" fontId="0" fillId="0" borderId="29" xfId="0" applyBorder="1"/>
    <xf numFmtId="0" fontId="0" fillId="0" borderId="26" xfId="0" applyBorder="1"/>
    <xf numFmtId="0" fontId="0" fillId="16" borderId="26" xfId="0" applyFill="1" applyBorder="1"/>
    <xf numFmtId="11" fontId="0" fillId="0" borderId="26" xfId="0" applyNumberFormat="1" applyBorder="1"/>
    <xf numFmtId="0" fontId="12" fillId="0" borderId="30" xfId="0" applyFont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7" borderId="33" xfId="0" applyFill="1" applyBorder="1"/>
    <xf numFmtId="0" fontId="0" fillId="7" borderId="35" xfId="0" applyFill="1" applyBorder="1"/>
    <xf numFmtId="0" fontId="0" fillId="16" borderId="0" xfId="0" applyFill="1"/>
    <xf numFmtId="2" fontId="0" fillId="0" borderId="0" xfId="0" applyNumberFormat="1" applyAlignment="1">
      <alignment horizontal="center"/>
    </xf>
    <xf numFmtId="0" fontId="5" fillId="15" borderId="0" xfId="0" applyFont="1" applyFill="1"/>
    <xf numFmtId="0" fontId="5" fillId="4" borderId="0" xfId="0" applyFont="1" applyFill="1"/>
    <xf numFmtId="0" fontId="5" fillId="7" borderId="32" xfId="0" applyFont="1" applyFill="1" applyBorder="1"/>
    <xf numFmtId="0" fontId="5" fillId="7" borderId="34" xfId="0" applyFont="1" applyFill="1" applyBorder="1"/>
    <xf numFmtId="2" fontId="0" fillId="2" borderId="25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5" fontId="0" fillId="0" borderId="0" xfId="0" applyNumberFormat="1"/>
    <xf numFmtId="9" fontId="0" fillId="0" borderId="0" xfId="0" applyNumberFormat="1"/>
    <xf numFmtId="0" fontId="0" fillId="0" borderId="13" xfId="0" applyBorder="1"/>
    <xf numFmtId="0" fontId="3" fillId="0" borderId="14" xfId="0" applyFont="1" applyBorder="1" applyAlignment="1">
      <alignment horizontal="center"/>
    </xf>
    <xf numFmtId="0" fontId="3" fillId="0" borderId="14" xfId="0" applyFont="1" applyBorder="1" applyAlignment="1">
      <alignment horizontal="centerContinuous"/>
    </xf>
    <xf numFmtId="0" fontId="7" fillId="18" borderId="0" xfId="0" applyFont="1" applyFill="1"/>
    <xf numFmtId="0" fontId="0" fillId="18" borderId="0" xfId="0" applyFill="1"/>
    <xf numFmtId="0" fontId="0" fillId="16" borderId="13" xfId="0" applyFill="1" applyBorder="1"/>
    <xf numFmtId="0" fontId="16" fillId="0" borderId="0" xfId="0" applyFont="1"/>
    <xf numFmtId="0" fontId="13" fillId="16" borderId="0" xfId="0" applyFont="1" applyFill="1"/>
    <xf numFmtId="0" fontId="16" fillId="16" borderId="0" xfId="0" applyFont="1" applyFill="1"/>
    <xf numFmtId="0" fontId="0" fillId="18" borderId="26" xfId="0" applyFill="1" applyBorder="1"/>
    <xf numFmtId="0" fontId="0" fillId="0" borderId="29" xfId="0" applyBorder="1" applyAlignment="1">
      <alignment horizontal="center"/>
    </xf>
    <xf numFmtId="0" fontId="18" fillId="0" borderId="0" xfId="0" applyFont="1"/>
    <xf numFmtId="0" fontId="0" fillId="0" borderId="0" xfId="0" applyAlignment="1">
      <alignment horizontal="center"/>
    </xf>
    <xf numFmtId="0" fontId="0" fillId="0" borderId="26" xfId="0" applyBorder="1" applyAlignment="1">
      <alignment horizontal="center"/>
    </xf>
    <xf numFmtId="0" fontId="0" fillId="4" borderId="0" xfId="0" applyFill="1" applyAlignment="1">
      <alignment wrapText="1"/>
    </xf>
    <xf numFmtId="166" fontId="0" fillId="4" borderId="0" xfId="0" applyNumberFormat="1" applyFill="1" applyAlignment="1">
      <alignment vertical="center"/>
    </xf>
    <xf numFmtId="0" fontId="5" fillId="19" borderId="0" xfId="0" applyFont="1" applyFill="1"/>
    <xf numFmtId="0" fontId="0" fillId="19" borderId="0" xfId="0" applyFill="1"/>
    <xf numFmtId="0" fontId="5" fillId="19" borderId="24" xfId="0" applyFont="1" applyFill="1" applyBorder="1"/>
    <xf numFmtId="0" fontId="0" fillId="19" borderId="24" xfId="0" applyFill="1" applyBorder="1"/>
    <xf numFmtId="0" fontId="0" fillId="19" borderId="26" xfId="0" applyFill="1" applyBorder="1"/>
    <xf numFmtId="0" fontId="5" fillId="19" borderId="24" xfId="0" applyFont="1" applyFill="1" applyBorder="1" applyAlignment="1">
      <alignment horizontal="center"/>
    </xf>
    <xf numFmtId="11" fontId="0" fillId="19" borderId="0" xfId="0" applyNumberFormat="1" applyFill="1"/>
    <xf numFmtId="0" fontId="5" fillId="14" borderId="24" xfId="0" applyFont="1" applyFill="1" applyBorder="1" applyAlignment="1">
      <alignment horizontal="center"/>
    </xf>
    <xf numFmtId="0" fontId="5" fillId="14" borderId="0" xfId="0" applyFont="1" applyFill="1"/>
    <xf numFmtId="0" fontId="0" fillId="14" borderId="0" xfId="0" applyFill="1" applyAlignment="1">
      <alignment horizontal="center"/>
    </xf>
    <xf numFmtId="0" fontId="19" fillId="14" borderId="0" xfId="0" applyFont="1" applyFill="1"/>
    <xf numFmtId="0" fontId="0" fillId="14" borderId="25" xfId="0" applyFill="1" applyBorder="1"/>
    <xf numFmtId="0" fontId="0" fillId="14" borderId="25" xfId="0" applyFill="1" applyBorder="1" applyAlignment="1">
      <alignment horizontal="center"/>
    </xf>
    <xf numFmtId="0" fontId="20" fillId="14" borderId="25" xfId="0" applyFont="1" applyFill="1" applyBorder="1"/>
    <xf numFmtId="0" fontId="5" fillId="14" borderId="24" xfId="0" applyFont="1" applyFill="1" applyBorder="1"/>
    <xf numFmtId="10" fontId="0" fillId="14" borderId="24" xfId="0" applyNumberFormat="1" applyFill="1" applyBorder="1"/>
    <xf numFmtId="0" fontId="4" fillId="14" borderId="0" xfId="0" applyFont="1" applyFill="1" applyAlignment="1">
      <alignment horizontal="center"/>
    </xf>
    <xf numFmtId="0" fontId="0" fillId="14" borderId="36" xfId="0" applyFill="1" applyBorder="1"/>
    <xf numFmtId="0" fontId="0" fillId="14" borderId="37" xfId="0" applyFill="1" applyBorder="1"/>
    <xf numFmtId="0" fontId="0" fillId="0" borderId="37" xfId="0" applyBorder="1"/>
    <xf numFmtId="0" fontId="0" fillId="16" borderId="37" xfId="0" applyFill="1" applyBorder="1"/>
    <xf numFmtId="0" fontId="18" fillId="14" borderId="36" xfId="0" applyFont="1" applyFill="1" applyBorder="1"/>
    <xf numFmtId="0" fontId="18" fillId="14" borderId="0" xfId="0" applyFont="1" applyFill="1"/>
    <xf numFmtId="0" fontId="18" fillId="14" borderId="37" xfId="0" applyFont="1" applyFill="1" applyBorder="1"/>
    <xf numFmtId="0" fontId="0" fillId="4" borderId="26" xfId="0" applyFill="1" applyBorder="1"/>
    <xf numFmtId="0" fontId="21" fillId="0" borderId="29" xfId="0" applyFont="1" applyBorder="1" applyAlignment="1">
      <alignment horizontal="center"/>
    </xf>
    <xf numFmtId="167" fontId="0" fillId="0" borderId="0" xfId="0" applyNumberFormat="1"/>
    <xf numFmtId="0" fontId="22" fillId="0" borderId="0" xfId="0" applyFont="1"/>
    <xf numFmtId="0" fontId="21" fillId="0" borderId="0" xfId="0" applyFont="1" applyAlignment="1">
      <alignment horizontal="center"/>
    </xf>
    <xf numFmtId="0" fontId="3" fillId="10" borderId="19" xfId="0" applyFont="1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4" fillId="4" borderId="17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20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0" fontId="7" fillId="8" borderId="12" xfId="0" applyFont="1" applyFill="1" applyBorder="1" applyAlignment="1">
      <alignment horizontal="center"/>
    </xf>
    <xf numFmtId="0" fontId="7" fillId="8" borderId="16" xfId="0" applyFont="1" applyFill="1" applyBorder="1" applyAlignment="1">
      <alignment horizontal="center"/>
    </xf>
    <xf numFmtId="0" fontId="7" fillId="8" borderId="20" xfId="0" applyFont="1" applyFill="1" applyBorder="1" applyAlignment="1">
      <alignment horizontal="center"/>
    </xf>
    <xf numFmtId="0" fontId="7" fillId="8" borderId="13" xfId="0" applyFont="1" applyFill="1" applyBorder="1" applyAlignment="1">
      <alignment horizontal="center"/>
    </xf>
    <xf numFmtId="0" fontId="7" fillId="8" borderId="22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3" fillId="6" borderId="19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14" xfId="0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4" fillId="10" borderId="15" xfId="0" applyFont="1" applyFill="1" applyBorder="1" applyAlignment="1">
      <alignment horizontal="center"/>
    </xf>
    <xf numFmtId="0" fontId="4" fillId="10" borderId="12" xfId="0" applyFont="1" applyFill="1" applyBorder="1" applyAlignment="1">
      <alignment horizontal="center"/>
    </xf>
    <xf numFmtId="0" fontId="4" fillId="10" borderId="16" xfId="0" applyFont="1" applyFill="1" applyBorder="1" applyAlignment="1">
      <alignment horizontal="center"/>
    </xf>
    <xf numFmtId="0" fontId="4" fillId="10" borderId="17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4" fillId="10" borderId="18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0" fontId="4" fillId="6" borderId="16" xfId="0" applyFont="1" applyFill="1" applyBorder="1" applyAlignment="1">
      <alignment horizontal="center"/>
    </xf>
    <xf numFmtId="0" fontId="4" fillId="6" borderId="20" xfId="0" applyFont="1" applyFill="1" applyBorder="1" applyAlignment="1">
      <alignment horizontal="center"/>
    </xf>
    <xf numFmtId="0" fontId="4" fillId="6" borderId="13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9" borderId="16" xfId="0" applyFont="1" applyFill="1" applyBorder="1" applyAlignment="1">
      <alignment horizontal="center"/>
    </xf>
    <xf numFmtId="0" fontId="4" fillId="9" borderId="20" xfId="0" applyFont="1" applyFill="1" applyBorder="1" applyAlignment="1">
      <alignment horizontal="center"/>
    </xf>
    <xf numFmtId="0" fontId="4" fillId="9" borderId="13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12" borderId="0" xfId="0" applyFont="1" applyFill="1" applyAlignment="1">
      <alignment horizontal="center"/>
    </xf>
    <xf numFmtId="0" fontId="4" fillId="12" borderId="25" xfId="0" applyFont="1" applyFill="1" applyBorder="1" applyAlignment="1">
      <alignment horizontal="center"/>
    </xf>
    <xf numFmtId="0" fontId="8" fillId="8" borderId="19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0" fontId="3" fillId="9" borderId="19" xfId="0" applyFont="1" applyFill="1" applyBorder="1" applyAlignment="1">
      <alignment horizontal="center"/>
    </xf>
    <xf numFmtId="0" fontId="3" fillId="9" borderId="14" xfId="0" applyFont="1" applyFill="1" applyBorder="1" applyAlignment="1">
      <alignment horizontal="center"/>
    </xf>
    <xf numFmtId="0" fontId="3" fillId="11" borderId="19" xfId="0" applyFont="1" applyFill="1" applyBorder="1" applyAlignment="1">
      <alignment horizontal="center"/>
    </xf>
    <xf numFmtId="0" fontId="3" fillId="11" borderId="14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0" fontId="21" fillId="0" borderId="29" xfId="0" applyFont="1" applyBorder="1" applyAlignment="1">
      <alignment horizontal="center"/>
    </xf>
  </cellXfs>
  <cellStyles count="1">
    <cellStyle name="Normal" xfId="0" builtinId="0"/>
  </cellStyles>
  <dxfs count="96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FF0000"/>
      </font>
      <fill>
        <patternFill patternType="solid">
          <bgColor theme="0"/>
        </patternFill>
      </fill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Fat Percentage and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Data!$D$3</c:f>
              <c:strCache>
                <c:ptCount val="1"/>
                <c:pt idx="0">
                  <c:v>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3200707981767046"/>
                  <c:y val="-0.307704758580375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9119087283557981E-2"/>
                  <c:y val="6.36124451206948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Data!$D$4:$D$53</c:f>
              <c:numCache>
                <c:formatCode>General</c:formatCode>
                <c:ptCount val="50"/>
                <c:pt idx="0">
                  <c:v>23</c:v>
                </c:pt>
                <c:pt idx="1">
                  <c:v>22</c:v>
                </c:pt>
                <c:pt idx="2">
                  <c:v>22</c:v>
                </c:pt>
                <c:pt idx="3">
                  <c:v>26</c:v>
                </c:pt>
                <c:pt idx="4">
                  <c:v>24</c:v>
                </c:pt>
                <c:pt idx="5">
                  <c:v>24</c:v>
                </c:pt>
                <c:pt idx="6">
                  <c:v>26</c:v>
                </c:pt>
                <c:pt idx="7">
                  <c:v>25</c:v>
                </c:pt>
                <c:pt idx="8">
                  <c:v>25</c:v>
                </c:pt>
                <c:pt idx="9">
                  <c:v>23</c:v>
                </c:pt>
                <c:pt idx="10">
                  <c:v>26</c:v>
                </c:pt>
                <c:pt idx="11">
                  <c:v>27</c:v>
                </c:pt>
                <c:pt idx="12">
                  <c:v>32</c:v>
                </c:pt>
                <c:pt idx="13">
                  <c:v>30</c:v>
                </c:pt>
                <c:pt idx="14">
                  <c:v>35</c:v>
                </c:pt>
                <c:pt idx="15">
                  <c:v>35</c:v>
                </c:pt>
                <c:pt idx="16">
                  <c:v>34</c:v>
                </c:pt>
                <c:pt idx="17">
                  <c:v>32</c:v>
                </c:pt>
                <c:pt idx="18">
                  <c:v>28</c:v>
                </c:pt>
                <c:pt idx="19">
                  <c:v>33</c:v>
                </c:pt>
                <c:pt idx="20">
                  <c:v>28</c:v>
                </c:pt>
                <c:pt idx="21">
                  <c:v>28</c:v>
                </c:pt>
                <c:pt idx="22">
                  <c:v>31</c:v>
                </c:pt>
                <c:pt idx="23">
                  <c:v>32</c:v>
                </c:pt>
                <c:pt idx="24">
                  <c:v>28</c:v>
                </c:pt>
                <c:pt idx="25">
                  <c:v>27</c:v>
                </c:pt>
                <c:pt idx="26">
                  <c:v>34</c:v>
                </c:pt>
                <c:pt idx="27">
                  <c:v>31</c:v>
                </c:pt>
                <c:pt idx="28">
                  <c:v>27</c:v>
                </c:pt>
                <c:pt idx="29">
                  <c:v>29</c:v>
                </c:pt>
                <c:pt idx="30">
                  <c:v>32</c:v>
                </c:pt>
                <c:pt idx="31">
                  <c:v>29</c:v>
                </c:pt>
                <c:pt idx="32">
                  <c:v>27</c:v>
                </c:pt>
                <c:pt idx="33">
                  <c:v>41</c:v>
                </c:pt>
                <c:pt idx="34">
                  <c:v>41</c:v>
                </c:pt>
                <c:pt idx="35">
                  <c:v>49</c:v>
                </c:pt>
                <c:pt idx="36">
                  <c:v>40</c:v>
                </c:pt>
                <c:pt idx="37">
                  <c:v>50</c:v>
                </c:pt>
                <c:pt idx="38">
                  <c:v>46</c:v>
                </c:pt>
                <c:pt idx="39">
                  <c:v>50</c:v>
                </c:pt>
                <c:pt idx="40">
                  <c:v>45</c:v>
                </c:pt>
                <c:pt idx="41">
                  <c:v>44</c:v>
                </c:pt>
                <c:pt idx="42">
                  <c:v>48</c:v>
                </c:pt>
                <c:pt idx="43">
                  <c:v>41</c:v>
                </c:pt>
                <c:pt idx="44">
                  <c:v>39</c:v>
                </c:pt>
                <c:pt idx="45">
                  <c:v>43</c:v>
                </c:pt>
                <c:pt idx="46">
                  <c:v>40</c:v>
                </c:pt>
                <c:pt idx="47">
                  <c:v>39</c:v>
                </c:pt>
                <c:pt idx="48">
                  <c:v>45</c:v>
                </c:pt>
                <c:pt idx="49">
                  <c:v>47</c:v>
                </c:pt>
              </c:numCache>
            </c:numRef>
          </c:xVal>
          <c:yVal>
            <c:numRef>
              <c:f>Data!$C$4:$C$53</c:f>
              <c:numCache>
                <c:formatCode>0.0</c:formatCode>
                <c:ptCount val="50"/>
                <c:pt idx="0">
                  <c:v>12.6</c:v>
                </c:pt>
                <c:pt idx="1">
                  <c:v>6.9</c:v>
                </c:pt>
                <c:pt idx="2">
                  <c:v>24.6</c:v>
                </c:pt>
                <c:pt idx="3">
                  <c:v>10.9</c:v>
                </c:pt>
                <c:pt idx="4">
                  <c:v>27.8</c:v>
                </c:pt>
                <c:pt idx="5">
                  <c:v>20.6</c:v>
                </c:pt>
                <c:pt idx="6">
                  <c:v>19</c:v>
                </c:pt>
                <c:pt idx="7">
                  <c:v>12.8</c:v>
                </c:pt>
                <c:pt idx="8">
                  <c:v>5.0999999999999996</c:v>
                </c:pt>
                <c:pt idx="9">
                  <c:v>12</c:v>
                </c:pt>
                <c:pt idx="10">
                  <c:v>7.5</c:v>
                </c:pt>
                <c:pt idx="11">
                  <c:v>8.5</c:v>
                </c:pt>
                <c:pt idx="12">
                  <c:v>20.5</c:v>
                </c:pt>
                <c:pt idx="13">
                  <c:v>20.8</c:v>
                </c:pt>
                <c:pt idx="14">
                  <c:v>21.7</c:v>
                </c:pt>
                <c:pt idx="15">
                  <c:v>20.5</c:v>
                </c:pt>
                <c:pt idx="16">
                  <c:v>28.1</c:v>
                </c:pt>
                <c:pt idx="17">
                  <c:v>22.4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19</c:v>
                </c:pt>
                <c:pt idx="21">
                  <c:v>15.3</c:v>
                </c:pt>
                <c:pt idx="22">
                  <c:v>15.7</c:v>
                </c:pt>
                <c:pt idx="23">
                  <c:v>17.600000000000001</c:v>
                </c:pt>
                <c:pt idx="24">
                  <c:v>14.2</c:v>
                </c:pt>
                <c:pt idx="25">
                  <c:v>4.5999999999999996</c:v>
                </c:pt>
                <c:pt idx="26">
                  <c:v>8.5</c:v>
                </c:pt>
                <c:pt idx="27">
                  <c:v>22.4</c:v>
                </c:pt>
                <c:pt idx="28">
                  <c:v>4.7</c:v>
                </c:pt>
                <c:pt idx="29">
                  <c:v>9.4</c:v>
                </c:pt>
                <c:pt idx="30">
                  <c:v>12.3</c:v>
                </c:pt>
                <c:pt idx="31">
                  <c:v>6.5</c:v>
                </c:pt>
                <c:pt idx="32">
                  <c:v>13.4</c:v>
                </c:pt>
                <c:pt idx="33">
                  <c:v>20.9</c:v>
                </c:pt>
                <c:pt idx="34">
                  <c:v>31.1</c:v>
                </c:pt>
                <c:pt idx="35">
                  <c:v>38.200000000000003</c:v>
                </c:pt>
                <c:pt idx="36">
                  <c:v>23.6</c:v>
                </c:pt>
                <c:pt idx="37">
                  <c:v>27.5</c:v>
                </c:pt>
                <c:pt idx="38">
                  <c:v>33.799999999999997</c:v>
                </c:pt>
                <c:pt idx="39">
                  <c:v>31.3</c:v>
                </c:pt>
                <c:pt idx="40">
                  <c:v>33.1</c:v>
                </c:pt>
                <c:pt idx="41">
                  <c:v>31.7</c:v>
                </c:pt>
                <c:pt idx="42">
                  <c:v>30.4</c:v>
                </c:pt>
                <c:pt idx="43">
                  <c:v>30.8</c:v>
                </c:pt>
                <c:pt idx="44">
                  <c:v>8.4</c:v>
                </c:pt>
                <c:pt idx="45">
                  <c:v>14.1</c:v>
                </c:pt>
                <c:pt idx="46">
                  <c:v>11.2</c:v>
                </c:pt>
                <c:pt idx="47">
                  <c:v>6.4</c:v>
                </c:pt>
                <c:pt idx="48">
                  <c:v>13.4</c:v>
                </c:pt>
                <c:pt idx="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97-4D48-A984-45A8478A8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76903"/>
        <c:axId val="156198919"/>
      </c:scatterChart>
      <c:valAx>
        <c:axId val="156176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98919"/>
        <c:crosses val="autoZero"/>
        <c:crossBetween val="midCat"/>
      </c:valAx>
      <c:valAx>
        <c:axId val="156198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176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Fat Percentage and Neck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Data!$G$3</c:f>
              <c:strCache>
                <c:ptCount val="1"/>
                <c:pt idx="0">
                  <c:v>Neck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7379425257902932E-3"/>
                  <c:y val="-3.15453759989254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2681859467404719"/>
                  <c:y val="-0.176422127032402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Data!$G$4:$G$52</c:f>
              <c:numCache>
                <c:formatCode>0.0</c:formatCode>
                <c:ptCount val="49"/>
                <c:pt idx="0">
                  <c:v>36.200000000000003</c:v>
                </c:pt>
                <c:pt idx="1">
                  <c:v>38.5</c:v>
                </c:pt>
                <c:pt idx="2">
                  <c:v>34</c:v>
                </c:pt>
                <c:pt idx="3">
                  <c:v>37.4</c:v>
                </c:pt>
                <c:pt idx="4">
                  <c:v>34.4</c:v>
                </c:pt>
                <c:pt idx="5">
                  <c:v>39</c:v>
                </c:pt>
                <c:pt idx="6">
                  <c:v>36.4</c:v>
                </c:pt>
                <c:pt idx="7">
                  <c:v>37.799999999999997</c:v>
                </c:pt>
                <c:pt idx="8">
                  <c:v>38.1</c:v>
                </c:pt>
                <c:pt idx="9">
                  <c:v>42.1</c:v>
                </c:pt>
                <c:pt idx="10">
                  <c:v>38.5</c:v>
                </c:pt>
                <c:pt idx="11">
                  <c:v>39.4</c:v>
                </c:pt>
                <c:pt idx="12">
                  <c:v>38.4</c:v>
                </c:pt>
                <c:pt idx="13">
                  <c:v>39.4</c:v>
                </c:pt>
                <c:pt idx="14">
                  <c:v>40.5</c:v>
                </c:pt>
                <c:pt idx="15">
                  <c:v>36.4</c:v>
                </c:pt>
                <c:pt idx="16">
                  <c:v>38.9</c:v>
                </c:pt>
                <c:pt idx="17">
                  <c:v>42.1</c:v>
                </c:pt>
                <c:pt idx="18">
                  <c:v>38</c:v>
                </c:pt>
                <c:pt idx="19">
                  <c:v>40</c:v>
                </c:pt>
                <c:pt idx="20">
                  <c:v>39.1</c:v>
                </c:pt>
                <c:pt idx="21">
                  <c:v>41.3</c:v>
                </c:pt>
                <c:pt idx="22">
                  <c:v>33.9</c:v>
                </c:pt>
                <c:pt idx="23">
                  <c:v>35.5</c:v>
                </c:pt>
                <c:pt idx="24">
                  <c:v>34.5</c:v>
                </c:pt>
                <c:pt idx="25">
                  <c:v>35.700000000000003</c:v>
                </c:pt>
                <c:pt idx="26">
                  <c:v>36.200000000000003</c:v>
                </c:pt>
                <c:pt idx="27">
                  <c:v>38.799999999999997</c:v>
                </c:pt>
                <c:pt idx="28">
                  <c:v>36.4</c:v>
                </c:pt>
                <c:pt idx="29">
                  <c:v>36.700000000000003</c:v>
                </c:pt>
                <c:pt idx="30">
                  <c:v>38.700000000000003</c:v>
                </c:pt>
                <c:pt idx="31">
                  <c:v>37.299999999999997</c:v>
                </c:pt>
                <c:pt idx="32">
                  <c:v>38.1</c:v>
                </c:pt>
                <c:pt idx="33">
                  <c:v>39.799999999999997</c:v>
                </c:pt>
                <c:pt idx="34">
                  <c:v>42.1</c:v>
                </c:pt>
                <c:pt idx="35">
                  <c:v>38.4</c:v>
                </c:pt>
                <c:pt idx="36">
                  <c:v>38.5</c:v>
                </c:pt>
                <c:pt idx="37">
                  <c:v>42.1</c:v>
                </c:pt>
                <c:pt idx="38">
                  <c:v>51.2</c:v>
                </c:pt>
                <c:pt idx="39">
                  <c:v>40.200000000000003</c:v>
                </c:pt>
                <c:pt idx="40">
                  <c:v>43.2</c:v>
                </c:pt>
                <c:pt idx="41">
                  <c:v>36.6</c:v>
                </c:pt>
                <c:pt idx="42">
                  <c:v>37.299999999999997</c:v>
                </c:pt>
                <c:pt idx="43">
                  <c:v>41.5</c:v>
                </c:pt>
                <c:pt idx="44">
                  <c:v>31.5</c:v>
                </c:pt>
                <c:pt idx="45">
                  <c:v>35.700000000000003</c:v>
                </c:pt>
                <c:pt idx="46">
                  <c:v>33.6</c:v>
                </c:pt>
                <c:pt idx="47">
                  <c:v>34.6</c:v>
                </c:pt>
                <c:pt idx="48">
                  <c:v>32.799999999999997</c:v>
                </c:pt>
              </c:numCache>
            </c:numRef>
          </c:xVal>
          <c:yVal>
            <c:numRef>
              <c:f>Data!$C$4:$C$53</c:f>
              <c:numCache>
                <c:formatCode>0.0</c:formatCode>
                <c:ptCount val="50"/>
                <c:pt idx="0">
                  <c:v>12.6</c:v>
                </c:pt>
                <c:pt idx="1">
                  <c:v>6.9</c:v>
                </c:pt>
                <c:pt idx="2">
                  <c:v>24.6</c:v>
                </c:pt>
                <c:pt idx="3">
                  <c:v>10.9</c:v>
                </c:pt>
                <c:pt idx="4">
                  <c:v>27.8</c:v>
                </c:pt>
                <c:pt idx="5">
                  <c:v>20.6</c:v>
                </c:pt>
                <c:pt idx="6">
                  <c:v>19</c:v>
                </c:pt>
                <c:pt idx="7">
                  <c:v>12.8</c:v>
                </c:pt>
                <c:pt idx="8">
                  <c:v>5.0999999999999996</c:v>
                </c:pt>
                <c:pt idx="9">
                  <c:v>12</c:v>
                </c:pt>
                <c:pt idx="10">
                  <c:v>7.5</c:v>
                </c:pt>
                <c:pt idx="11">
                  <c:v>8.5</c:v>
                </c:pt>
                <c:pt idx="12">
                  <c:v>20.5</c:v>
                </c:pt>
                <c:pt idx="13">
                  <c:v>20.8</c:v>
                </c:pt>
                <c:pt idx="14">
                  <c:v>21.7</c:v>
                </c:pt>
                <c:pt idx="15">
                  <c:v>20.5</c:v>
                </c:pt>
                <c:pt idx="16">
                  <c:v>28.1</c:v>
                </c:pt>
                <c:pt idx="17">
                  <c:v>22.4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19</c:v>
                </c:pt>
                <c:pt idx="21">
                  <c:v>15.3</c:v>
                </c:pt>
                <c:pt idx="22">
                  <c:v>15.7</c:v>
                </c:pt>
                <c:pt idx="23">
                  <c:v>17.600000000000001</c:v>
                </c:pt>
                <c:pt idx="24">
                  <c:v>14.2</c:v>
                </c:pt>
                <c:pt idx="25">
                  <c:v>4.5999999999999996</c:v>
                </c:pt>
                <c:pt idx="26">
                  <c:v>8.5</c:v>
                </c:pt>
                <c:pt idx="27">
                  <c:v>22.4</c:v>
                </c:pt>
                <c:pt idx="28">
                  <c:v>4.7</c:v>
                </c:pt>
                <c:pt idx="29">
                  <c:v>9.4</c:v>
                </c:pt>
                <c:pt idx="30">
                  <c:v>12.3</c:v>
                </c:pt>
                <c:pt idx="31">
                  <c:v>6.5</c:v>
                </c:pt>
                <c:pt idx="32">
                  <c:v>13.4</c:v>
                </c:pt>
                <c:pt idx="33">
                  <c:v>20.9</c:v>
                </c:pt>
                <c:pt idx="34">
                  <c:v>31.1</c:v>
                </c:pt>
                <c:pt idx="35">
                  <c:v>38.200000000000003</c:v>
                </c:pt>
                <c:pt idx="36">
                  <c:v>23.6</c:v>
                </c:pt>
                <c:pt idx="37">
                  <c:v>27.5</c:v>
                </c:pt>
                <c:pt idx="38">
                  <c:v>33.799999999999997</c:v>
                </c:pt>
                <c:pt idx="39">
                  <c:v>31.3</c:v>
                </c:pt>
                <c:pt idx="40">
                  <c:v>33.1</c:v>
                </c:pt>
                <c:pt idx="41">
                  <c:v>31.7</c:v>
                </c:pt>
                <c:pt idx="42">
                  <c:v>30.4</c:v>
                </c:pt>
                <c:pt idx="43">
                  <c:v>30.8</c:v>
                </c:pt>
                <c:pt idx="44">
                  <c:v>8.4</c:v>
                </c:pt>
                <c:pt idx="45">
                  <c:v>14.1</c:v>
                </c:pt>
                <c:pt idx="46">
                  <c:v>11.2</c:v>
                </c:pt>
                <c:pt idx="47">
                  <c:v>6.4</c:v>
                </c:pt>
                <c:pt idx="48">
                  <c:v>13.4</c:v>
                </c:pt>
                <c:pt idx="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30-4DEC-AF3C-458F03E94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756295"/>
        <c:axId val="248636936"/>
      </c:scatterChart>
      <c:valAx>
        <c:axId val="1143756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36936"/>
        <c:crosses val="autoZero"/>
        <c:crossBetween val="midCat"/>
      </c:valAx>
      <c:valAx>
        <c:axId val="248636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56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Fat Percentage and Chest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Data!$H$3</c:f>
              <c:strCache>
                <c:ptCount val="1"/>
                <c:pt idx="0">
                  <c:v>Chest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067053670676723"/>
                  <c:y val="-0.14333865910236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Data!$H$4:$H$53</c:f>
              <c:numCache>
                <c:formatCode>0.0</c:formatCode>
                <c:ptCount val="50"/>
                <c:pt idx="0">
                  <c:v>93.1</c:v>
                </c:pt>
                <c:pt idx="1">
                  <c:v>93.6</c:v>
                </c:pt>
                <c:pt idx="2">
                  <c:v>95.8</c:v>
                </c:pt>
                <c:pt idx="3">
                  <c:v>101.8</c:v>
                </c:pt>
                <c:pt idx="4">
                  <c:v>97.3</c:v>
                </c:pt>
                <c:pt idx="5">
                  <c:v>104.5</c:v>
                </c:pt>
                <c:pt idx="6">
                  <c:v>105.1</c:v>
                </c:pt>
                <c:pt idx="7">
                  <c:v>99.6</c:v>
                </c:pt>
                <c:pt idx="8">
                  <c:v>100.9</c:v>
                </c:pt>
                <c:pt idx="9">
                  <c:v>99.6</c:v>
                </c:pt>
                <c:pt idx="10">
                  <c:v>101.5</c:v>
                </c:pt>
                <c:pt idx="11">
                  <c:v>103.6</c:v>
                </c:pt>
                <c:pt idx="12">
                  <c:v>102</c:v>
                </c:pt>
                <c:pt idx="13">
                  <c:v>104.1</c:v>
                </c:pt>
                <c:pt idx="14">
                  <c:v>101.3</c:v>
                </c:pt>
                <c:pt idx="15">
                  <c:v>99.1</c:v>
                </c:pt>
                <c:pt idx="16">
                  <c:v>101.9</c:v>
                </c:pt>
                <c:pt idx="17">
                  <c:v>107.6</c:v>
                </c:pt>
                <c:pt idx="18">
                  <c:v>106.8</c:v>
                </c:pt>
                <c:pt idx="19">
                  <c:v>106.2</c:v>
                </c:pt>
                <c:pt idx="20">
                  <c:v>103.3</c:v>
                </c:pt>
                <c:pt idx="21">
                  <c:v>111.4</c:v>
                </c:pt>
                <c:pt idx="22">
                  <c:v>86</c:v>
                </c:pt>
                <c:pt idx="23">
                  <c:v>86.7</c:v>
                </c:pt>
                <c:pt idx="24">
                  <c:v>90.2</c:v>
                </c:pt>
                <c:pt idx="25">
                  <c:v>89.6</c:v>
                </c:pt>
                <c:pt idx="26">
                  <c:v>88.6</c:v>
                </c:pt>
                <c:pt idx="27">
                  <c:v>97.4</c:v>
                </c:pt>
                <c:pt idx="28">
                  <c:v>93.5</c:v>
                </c:pt>
                <c:pt idx="29">
                  <c:v>97.4</c:v>
                </c:pt>
                <c:pt idx="30">
                  <c:v>100.5</c:v>
                </c:pt>
                <c:pt idx="31">
                  <c:v>93.5</c:v>
                </c:pt>
                <c:pt idx="32">
                  <c:v>93</c:v>
                </c:pt>
                <c:pt idx="33">
                  <c:v>111.7</c:v>
                </c:pt>
                <c:pt idx="34">
                  <c:v>117</c:v>
                </c:pt>
                <c:pt idx="35">
                  <c:v>118.5</c:v>
                </c:pt>
                <c:pt idx="36">
                  <c:v>106.5</c:v>
                </c:pt>
                <c:pt idx="37">
                  <c:v>105.6</c:v>
                </c:pt>
                <c:pt idx="38">
                  <c:v>136.19999999999999</c:v>
                </c:pt>
                <c:pt idx="39">
                  <c:v>114.8</c:v>
                </c:pt>
                <c:pt idx="40">
                  <c:v>128.30000000000001</c:v>
                </c:pt>
                <c:pt idx="41">
                  <c:v>106</c:v>
                </c:pt>
                <c:pt idx="42">
                  <c:v>113.3</c:v>
                </c:pt>
                <c:pt idx="43">
                  <c:v>106.6</c:v>
                </c:pt>
                <c:pt idx="44">
                  <c:v>85.1</c:v>
                </c:pt>
                <c:pt idx="45">
                  <c:v>96.6</c:v>
                </c:pt>
                <c:pt idx="46">
                  <c:v>88.2</c:v>
                </c:pt>
                <c:pt idx="47">
                  <c:v>89.8</c:v>
                </c:pt>
                <c:pt idx="48">
                  <c:v>92.3</c:v>
                </c:pt>
                <c:pt idx="49">
                  <c:v>83.4</c:v>
                </c:pt>
              </c:numCache>
            </c:numRef>
          </c:xVal>
          <c:yVal>
            <c:numRef>
              <c:f>Data!$C$4:$C$53</c:f>
              <c:numCache>
                <c:formatCode>0.0</c:formatCode>
                <c:ptCount val="50"/>
                <c:pt idx="0">
                  <c:v>12.6</c:v>
                </c:pt>
                <c:pt idx="1">
                  <c:v>6.9</c:v>
                </c:pt>
                <c:pt idx="2">
                  <c:v>24.6</c:v>
                </c:pt>
                <c:pt idx="3">
                  <c:v>10.9</c:v>
                </c:pt>
                <c:pt idx="4">
                  <c:v>27.8</c:v>
                </c:pt>
                <c:pt idx="5">
                  <c:v>20.6</c:v>
                </c:pt>
                <c:pt idx="6">
                  <c:v>19</c:v>
                </c:pt>
                <c:pt idx="7">
                  <c:v>12.8</c:v>
                </c:pt>
                <c:pt idx="8">
                  <c:v>5.0999999999999996</c:v>
                </c:pt>
                <c:pt idx="9">
                  <c:v>12</c:v>
                </c:pt>
                <c:pt idx="10">
                  <c:v>7.5</c:v>
                </c:pt>
                <c:pt idx="11">
                  <c:v>8.5</c:v>
                </c:pt>
                <c:pt idx="12">
                  <c:v>20.5</c:v>
                </c:pt>
                <c:pt idx="13">
                  <c:v>20.8</c:v>
                </c:pt>
                <c:pt idx="14">
                  <c:v>21.7</c:v>
                </c:pt>
                <c:pt idx="15">
                  <c:v>20.5</c:v>
                </c:pt>
                <c:pt idx="16">
                  <c:v>28.1</c:v>
                </c:pt>
                <c:pt idx="17">
                  <c:v>22.4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19</c:v>
                </c:pt>
                <c:pt idx="21">
                  <c:v>15.3</c:v>
                </c:pt>
                <c:pt idx="22">
                  <c:v>15.7</c:v>
                </c:pt>
                <c:pt idx="23">
                  <c:v>17.600000000000001</c:v>
                </c:pt>
                <c:pt idx="24">
                  <c:v>14.2</c:v>
                </c:pt>
                <c:pt idx="25">
                  <c:v>4.5999999999999996</c:v>
                </c:pt>
                <c:pt idx="26">
                  <c:v>8.5</c:v>
                </c:pt>
                <c:pt idx="27">
                  <c:v>22.4</c:v>
                </c:pt>
                <c:pt idx="28">
                  <c:v>4.7</c:v>
                </c:pt>
                <c:pt idx="29">
                  <c:v>9.4</c:v>
                </c:pt>
                <c:pt idx="30">
                  <c:v>12.3</c:v>
                </c:pt>
                <c:pt idx="31">
                  <c:v>6.5</c:v>
                </c:pt>
                <c:pt idx="32">
                  <c:v>13.4</c:v>
                </c:pt>
                <c:pt idx="33">
                  <c:v>20.9</c:v>
                </c:pt>
                <c:pt idx="34">
                  <c:v>31.1</c:v>
                </c:pt>
                <c:pt idx="35">
                  <c:v>38.200000000000003</c:v>
                </c:pt>
                <c:pt idx="36">
                  <c:v>23.6</c:v>
                </c:pt>
                <c:pt idx="37">
                  <c:v>27.5</c:v>
                </c:pt>
                <c:pt idx="38">
                  <c:v>33.799999999999997</c:v>
                </c:pt>
                <c:pt idx="39">
                  <c:v>31.3</c:v>
                </c:pt>
                <c:pt idx="40">
                  <c:v>33.1</c:v>
                </c:pt>
                <c:pt idx="41">
                  <c:v>31.7</c:v>
                </c:pt>
                <c:pt idx="42">
                  <c:v>30.4</c:v>
                </c:pt>
                <c:pt idx="43">
                  <c:v>30.8</c:v>
                </c:pt>
                <c:pt idx="44">
                  <c:v>8.4</c:v>
                </c:pt>
                <c:pt idx="45">
                  <c:v>14.1</c:v>
                </c:pt>
                <c:pt idx="46">
                  <c:v>11.2</c:v>
                </c:pt>
                <c:pt idx="47">
                  <c:v>6.4</c:v>
                </c:pt>
                <c:pt idx="48">
                  <c:v>13.4</c:v>
                </c:pt>
                <c:pt idx="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5-45EA-9DA4-E2D11FA42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125960"/>
        <c:axId val="248172040"/>
      </c:scatterChart>
      <c:valAx>
        <c:axId val="248125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Chest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172040"/>
        <c:crosses val="autoZero"/>
        <c:crossBetween val="midCat"/>
      </c:valAx>
      <c:valAx>
        <c:axId val="24817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125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Fat Percentage and Abdomen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Data!$I$3</c:f>
              <c:strCache>
                <c:ptCount val="1"/>
                <c:pt idx="0">
                  <c:v>Abdomen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791037555077735E-2"/>
                  <c:y val="2.52945219109755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7028791162269649E-2"/>
                  <c:y val="-0.105739554641091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Data!$I$4:$I$53</c:f>
              <c:numCache>
                <c:formatCode>0.0</c:formatCode>
                <c:ptCount val="50"/>
                <c:pt idx="0">
                  <c:v>85.2</c:v>
                </c:pt>
                <c:pt idx="1">
                  <c:v>83</c:v>
                </c:pt>
                <c:pt idx="2">
                  <c:v>87.9</c:v>
                </c:pt>
                <c:pt idx="3">
                  <c:v>86.4</c:v>
                </c:pt>
                <c:pt idx="4">
                  <c:v>100</c:v>
                </c:pt>
                <c:pt idx="5">
                  <c:v>94.4</c:v>
                </c:pt>
                <c:pt idx="6">
                  <c:v>90.7</c:v>
                </c:pt>
                <c:pt idx="7">
                  <c:v>88.5</c:v>
                </c:pt>
                <c:pt idx="8">
                  <c:v>82.5</c:v>
                </c:pt>
                <c:pt idx="9">
                  <c:v>88.6</c:v>
                </c:pt>
                <c:pt idx="10">
                  <c:v>83.6</c:v>
                </c:pt>
                <c:pt idx="11">
                  <c:v>90.9</c:v>
                </c:pt>
                <c:pt idx="12">
                  <c:v>91.6</c:v>
                </c:pt>
                <c:pt idx="13">
                  <c:v>101.8</c:v>
                </c:pt>
                <c:pt idx="14">
                  <c:v>96.4</c:v>
                </c:pt>
                <c:pt idx="15">
                  <c:v>92.8</c:v>
                </c:pt>
                <c:pt idx="16">
                  <c:v>96.4</c:v>
                </c:pt>
                <c:pt idx="17">
                  <c:v>97.5</c:v>
                </c:pt>
                <c:pt idx="18">
                  <c:v>89.6</c:v>
                </c:pt>
                <c:pt idx="19">
                  <c:v>100.5</c:v>
                </c:pt>
                <c:pt idx="20">
                  <c:v>95.9</c:v>
                </c:pt>
                <c:pt idx="21">
                  <c:v>98.8</c:v>
                </c:pt>
                <c:pt idx="22">
                  <c:v>76.400000000000006</c:v>
                </c:pt>
                <c:pt idx="23">
                  <c:v>80</c:v>
                </c:pt>
                <c:pt idx="24">
                  <c:v>76.3</c:v>
                </c:pt>
                <c:pt idx="25">
                  <c:v>79.7</c:v>
                </c:pt>
                <c:pt idx="26">
                  <c:v>74.599999999999994</c:v>
                </c:pt>
                <c:pt idx="27">
                  <c:v>88.7</c:v>
                </c:pt>
                <c:pt idx="28">
                  <c:v>73.900000000000006</c:v>
                </c:pt>
                <c:pt idx="29">
                  <c:v>83.5</c:v>
                </c:pt>
                <c:pt idx="30">
                  <c:v>88.7</c:v>
                </c:pt>
                <c:pt idx="31">
                  <c:v>84.5</c:v>
                </c:pt>
                <c:pt idx="32">
                  <c:v>79.099999999999994</c:v>
                </c:pt>
                <c:pt idx="33">
                  <c:v>100.5</c:v>
                </c:pt>
                <c:pt idx="34">
                  <c:v>115.6</c:v>
                </c:pt>
                <c:pt idx="35">
                  <c:v>113.1</c:v>
                </c:pt>
                <c:pt idx="36">
                  <c:v>100.9</c:v>
                </c:pt>
                <c:pt idx="37">
                  <c:v>98.8</c:v>
                </c:pt>
                <c:pt idx="38">
                  <c:v>148.1</c:v>
                </c:pt>
                <c:pt idx="39">
                  <c:v>108.1</c:v>
                </c:pt>
                <c:pt idx="40">
                  <c:v>126.2</c:v>
                </c:pt>
                <c:pt idx="41">
                  <c:v>104.3</c:v>
                </c:pt>
                <c:pt idx="42">
                  <c:v>111.2</c:v>
                </c:pt>
                <c:pt idx="43">
                  <c:v>104.3</c:v>
                </c:pt>
                <c:pt idx="44">
                  <c:v>76</c:v>
                </c:pt>
                <c:pt idx="45">
                  <c:v>81.5</c:v>
                </c:pt>
                <c:pt idx="46">
                  <c:v>73.7</c:v>
                </c:pt>
                <c:pt idx="47">
                  <c:v>79.5</c:v>
                </c:pt>
                <c:pt idx="48">
                  <c:v>83.4</c:v>
                </c:pt>
                <c:pt idx="49">
                  <c:v>70.400000000000006</c:v>
                </c:pt>
              </c:numCache>
            </c:numRef>
          </c:xVal>
          <c:yVal>
            <c:numRef>
              <c:f>Data!$C$4:$C$53</c:f>
              <c:numCache>
                <c:formatCode>0.0</c:formatCode>
                <c:ptCount val="50"/>
                <c:pt idx="0">
                  <c:v>12.6</c:v>
                </c:pt>
                <c:pt idx="1">
                  <c:v>6.9</c:v>
                </c:pt>
                <c:pt idx="2">
                  <c:v>24.6</c:v>
                </c:pt>
                <c:pt idx="3">
                  <c:v>10.9</c:v>
                </c:pt>
                <c:pt idx="4">
                  <c:v>27.8</c:v>
                </c:pt>
                <c:pt idx="5">
                  <c:v>20.6</c:v>
                </c:pt>
                <c:pt idx="6">
                  <c:v>19</c:v>
                </c:pt>
                <c:pt idx="7">
                  <c:v>12.8</c:v>
                </c:pt>
                <c:pt idx="8">
                  <c:v>5.0999999999999996</c:v>
                </c:pt>
                <c:pt idx="9">
                  <c:v>12</c:v>
                </c:pt>
                <c:pt idx="10">
                  <c:v>7.5</c:v>
                </c:pt>
                <c:pt idx="11">
                  <c:v>8.5</c:v>
                </c:pt>
                <c:pt idx="12">
                  <c:v>20.5</c:v>
                </c:pt>
                <c:pt idx="13">
                  <c:v>20.8</c:v>
                </c:pt>
                <c:pt idx="14">
                  <c:v>21.7</c:v>
                </c:pt>
                <c:pt idx="15">
                  <c:v>20.5</c:v>
                </c:pt>
                <c:pt idx="16">
                  <c:v>28.1</c:v>
                </c:pt>
                <c:pt idx="17">
                  <c:v>22.4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19</c:v>
                </c:pt>
                <c:pt idx="21">
                  <c:v>15.3</c:v>
                </c:pt>
                <c:pt idx="22">
                  <c:v>15.7</c:v>
                </c:pt>
                <c:pt idx="23">
                  <c:v>17.600000000000001</c:v>
                </c:pt>
                <c:pt idx="24">
                  <c:v>14.2</c:v>
                </c:pt>
                <c:pt idx="25">
                  <c:v>4.5999999999999996</c:v>
                </c:pt>
                <c:pt idx="26">
                  <c:v>8.5</c:v>
                </c:pt>
                <c:pt idx="27">
                  <c:v>22.4</c:v>
                </c:pt>
                <c:pt idx="28">
                  <c:v>4.7</c:v>
                </c:pt>
                <c:pt idx="29">
                  <c:v>9.4</c:v>
                </c:pt>
                <c:pt idx="30">
                  <c:v>12.3</c:v>
                </c:pt>
                <c:pt idx="31">
                  <c:v>6.5</c:v>
                </c:pt>
                <c:pt idx="32">
                  <c:v>13.4</c:v>
                </c:pt>
                <c:pt idx="33">
                  <c:v>20.9</c:v>
                </c:pt>
                <c:pt idx="34">
                  <c:v>31.1</c:v>
                </c:pt>
                <c:pt idx="35">
                  <c:v>38.200000000000003</c:v>
                </c:pt>
                <c:pt idx="36">
                  <c:v>23.6</c:v>
                </c:pt>
                <c:pt idx="37">
                  <c:v>27.5</c:v>
                </c:pt>
                <c:pt idx="38">
                  <c:v>33.799999999999997</c:v>
                </c:pt>
                <c:pt idx="39">
                  <c:v>31.3</c:v>
                </c:pt>
                <c:pt idx="40">
                  <c:v>33.1</c:v>
                </c:pt>
                <c:pt idx="41">
                  <c:v>31.7</c:v>
                </c:pt>
                <c:pt idx="42">
                  <c:v>30.4</c:v>
                </c:pt>
                <c:pt idx="43">
                  <c:v>30.8</c:v>
                </c:pt>
                <c:pt idx="44">
                  <c:v>8.4</c:v>
                </c:pt>
                <c:pt idx="45">
                  <c:v>14.1</c:v>
                </c:pt>
                <c:pt idx="46">
                  <c:v>11.2</c:v>
                </c:pt>
                <c:pt idx="47">
                  <c:v>6.4</c:v>
                </c:pt>
                <c:pt idx="48">
                  <c:v>13.4</c:v>
                </c:pt>
                <c:pt idx="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EC-4AA1-A919-1F92521FA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126984"/>
        <c:axId val="248641032"/>
      </c:scatterChart>
      <c:valAx>
        <c:axId val="24812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Abdomen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41032"/>
        <c:crosses val="autoZero"/>
        <c:crossBetween val="midCat"/>
      </c:valAx>
      <c:valAx>
        <c:axId val="24864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126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Fat Percentage and 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Data!$J$3</c:f>
              <c:strCache>
                <c:ptCount val="1"/>
                <c:pt idx="0">
                  <c:v>Hip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3065277460660651E-2"/>
                  <c:y val="-0.124813569008397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Data!$J$4:$J$53</c:f>
              <c:numCache>
                <c:formatCode>0.0</c:formatCode>
                <c:ptCount val="50"/>
                <c:pt idx="0">
                  <c:v>94.5</c:v>
                </c:pt>
                <c:pt idx="1">
                  <c:v>98.7</c:v>
                </c:pt>
                <c:pt idx="2">
                  <c:v>99.2</c:v>
                </c:pt>
                <c:pt idx="3">
                  <c:v>101.2</c:v>
                </c:pt>
                <c:pt idx="4">
                  <c:v>101.9</c:v>
                </c:pt>
                <c:pt idx="5">
                  <c:v>107.8</c:v>
                </c:pt>
                <c:pt idx="6">
                  <c:v>100.3</c:v>
                </c:pt>
                <c:pt idx="7">
                  <c:v>97.1</c:v>
                </c:pt>
                <c:pt idx="8">
                  <c:v>99.9</c:v>
                </c:pt>
                <c:pt idx="9">
                  <c:v>104.1</c:v>
                </c:pt>
                <c:pt idx="10">
                  <c:v>98.2</c:v>
                </c:pt>
                <c:pt idx="11">
                  <c:v>107.7</c:v>
                </c:pt>
                <c:pt idx="12">
                  <c:v>103.9</c:v>
                </c:pt>
                <c:pt idx="13">
                  <c:v>108.6</c:v>
                </c:pt>
                <c:pt idx="14">
                  <c:v>100.1</c:v>
                </c:pt>
                <c:pt idx="15">
                  <c:v>99.2</c:v>
                </c:pt>
                <c:pt idx="16">
                  <c:v>105.2</c:v>
                </c:pt>
                <c:pt idx="17">
                  <c:v>107</c:v>
                </c:pt>
                <c:pt idx="18">
                  <c:v>102.4</c:v>
                </c:pt>
                <c:pt idx="19">
                  <c:v>109</c:v>
                </c:pt>
                <c:pt idx="20">
                  <c:v>104.9</c:v>
                </c:pt>
                <c:pt idx="21">
                  <c:v>104.8</c:v>
                </c:pt>
                <c:pt idx="22">
                  <c:v>94.6</c:v>
                </c:pt>
                <c:pt idx="23">
                  <c:v>93.4</c:v>
                </c:pt>
                <c:pt idx="24">
                  <c:v>95.8</c:v>
                </c:pt>
                <c:pt idx="25">
                  <c:v>96.5</c:v>
                </c:pt>
                <c:pt idx="26">
                  <c:v>85.3</c:v>
                </c:pt>
                <c:pt idx="27">
                  <c:v>94.7</c:v>
                </c:pt>
                <c:pt idx="28">
                  <c:v>88.5</c:v>
                </c:pt>
                <c:pt idx="29">
                  <c:v>98.7</c:v>
                </c:pt>
                <c:pt idx="30">
                  <c:v>99.8</c:v>
                </c:pt>
                <c:pt idx="31">
                  <c:v>100.6</c:v>
                </c:pt>
                <c:pt idx="32">
                  <c:v>94.5</c:v>
                </c:pt>
                <c:pt idx="33">
                  <c:v>108.3</c:v>
                </c:pt>
                <c:pt idx="34">
                  <c:v>116.1</c:v>
                </c:pt>
                <c:pt idx="35">
                  <c:v>113.8</c:v>
                </c:pt>
                <c:pt idx="36">
                  <c:v>106.2</c:v>
                </c:pt>
                <c:pt idx="37">
                  <c:v>104.8</c:v>
                </c:pt>
                <c:pt idx="38">
                  <c:v>147.69999999999999</c:v>
                </c:pt>
                <c:pt idx="39">
                  <c:v>102.5</c:v>
                </c:pt>
                <c:pt idx="40">
                  <c:v>125.6</c:v>
                </c:pt>
                <c:pt idx="41">
                  <c:v>115.5</c:v>
                </c:pt>
                <c:pt idx="42">
                  <c:v>114.1</c:v>
                </c:pt>
                <c:pt idx="43">
                  <c:v>106</c:v>
                </c:pt>
                <c:pt idx="44">
                  <c:v>88.2</c:v>
                </c:pt>
                <c:pt idx="45">
                  <c:v>97.2</c:v>
                </c:pt>
                <c:pt idx="46">
                  <c:v>88.5</c:v>
                </c:pt>
                <c:pt idx="47">
                  <c:v>92.7</c:v>
                </c:pt>
                <c:pt idx="48">
                  <c:v>90.4</c:v>
                </c:pt>
                <c:pt idx="49">
                  <c:v>87.2</c:v>
                </c:pt>
              </c:numCache>
            </c:numRef>
          </c:xVal>
          <c:yVal>
            <c:numRef>
              <c:f>Data!$C$4:$C$53</c:f>
              <c:numCache>
                <c:formatCode>0.0</c:formatCode>
                <c:ptCount val="50"/>
                <c:pt idx="0">
                  <c:v>12.6</c:v>
                </c:pt>
                <c:pt idx="1">
                  <c:v>6.9</c:v>
                </c:pt>
                <c:pt idx="2">
                  <c:v>24.6</c:v>
                </c:pt>
                <c:pt idx="3">
                  <c:v>10.9</c:v>
                </c:pt>
                <c:pt idx="4">
                  <c:v>27.8</c:v>
                </c:pt>
                <c:pt idx="5">
                  <c:v>20.6</c:v>
                </c:pt>
                <c:pt idx="6">
                  <c:v>19</c:v>
                </c:pt>
                <c:pt idx="7">
                  <c:v>12.8</c:v>
                </c:pt>
                <c:pt idx="8">
                  <c:v>5.0999999999999996</c:v>
                </c:pt>
                <c:pt idx="9">
                  <c:v>12</c:v>
                </c:pt>
                <c:pt idx="10">
                  <c:v>7.5</c:v>
                </c:pt>
                <c:pt idx="11">
                  <c:v>8.5</c:v>
                </c:pt>
                <c:pt idx="12">
                  <c:v>20.5</c:v>
                </c:pt>
                <c:pt idx="13">
                  <c:v>20.8</c:v>
                </c:pt>
                <c:pt idx="14">
                  <c:v>21.7</c:v>
                </c:pt>
                <c:pt idx="15">
                  <c:v>20.5</c:v>
                </c:pt>
                <c:pt idx="16">
                  <c:v>28.1</c:v>
                </c:pt>
                <c:pt idx="17">
                  <c:v>22.4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19</c:v>
                </c:pt>
                <c:pt idx="21">
                  <c:v>15.3</c:v>
                </c:pt>
                <c:pt idx="22">
                  <c:v>15.7</c:v>
                </c:pt>
                <c:pt idx="23">
                  <c:v>17.600000000000001</c:v>
                </c:pt>
                <c:pt idx="24">
                  <c:v>14.2</c:v>
                </c:pt>
                <c:pt idx="25">
                  <c:v>4.5999999999999996</c:v>
                </c:pt>
                <c:pt idx="26">
                  <c:v>8.5</c:v>
                </c:pt>
                <c:pt idx="27">
                  <c:v>22.4</c:v>
                </c:pt>
                <c:pt idx="28">
                  <c:v>4.7</c:v>
                </c:pt>
                <c:pt idx="29">
                  <c:v>9.4</c:v>
                </c:pt>
                <c:pt idx="30">
                  <c:v>12.3</c:v>
                </c:pt>
                <c:pt idx="31">
                  <c:v>6.5</c:v>
                </c:pt>
                <c:pt idx="32">
                  <c:v>13.4</c:v>
                </c:pt>
                <c:pt idx="33">
                  <c:v>20.9</c:v>
                </c:pt>
                <c:pt idx="34">
                  <c:v>31.1</c:v>
                </c:pt>
                <c:pt idx="35">
                  <c:v>38.200000000000003</c:v>
                </c:pt>
                <c:pt idx="36">
                  <c:v>23.6</c:v>
                </c:pt>
                <c:pt idx="37">
                  <c:v>27.5</c:v>
                </c:pt>
                <c:pt idx="38">
                  <c:v>33.799999999999997</c:v>
                </c:pt>
                <c:pt idx="39">
                  <c:v>31.3</c:v>
                </c:pt>
                <c:pt idx="40">
                  <c:v>33.1</c:v>
                </c:pt>
                <c:pt idx="41">
                  <c:v>31.7</c:v>
                </c:pt>
                <c:pt idx="42">
                  <c:v>30.4</c:v>
                </c:pt>
                <c:pt idx="43">
                  <c:v>30.8</c:v>
                </c:pt>
                <c:pt idx="44">
                  <c:v>8.4</c:v>
                </c:pt>
                <c:pt idx="45">
                  <c:v>14.1</c:v>
                </c:pt>
                <c:pt idx="46">
                  <c:v>11.2</c:v>
                </c:pt>
                <c:pt idx="47">
                  <c:v>6.4</c:v>
                </c:pt>
                <c:pt idx="48">
                  <c:v>13.4</c:v>
                </c:pt>
                <c:pt idx="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5B-4DE2-8809-0488A78D5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778311"/>
        <c:axId val="713822727"/>
      </c:scatterChart>
      <c:valAx>
        <c:axId val="1143778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22727"/>
        <c:crosses val="autoZero"/>
        <c:crossBetween val="midCat"/>
      </c:valAx>
      <c:valAx>
        <c:axId val="713822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</a:t>
                </a:r>
                <a:r>
                  <a:rPr lang="en-US" baseline="0"/>
                  <a:t> %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78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Fat Percentage and Thigh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Data!$K$3</c:f>
              <c:strCache>
                <c:ptCount val="1"/>
                <c:pt idx="0">
                  <c:v>Thigh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6.9937296667010762E-2"/>
                  <c:y val="-0.116499064086376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Data!$K$4:$K$53</c:f>
              <c:numCache>
                <c:formatCode>0.0</c:formatCode>
                <c:ptCount val="50"/>
                <c:pt idx="0">
                  <c:v>59</c:v>
                </c:pt>
                <c:pt idx="1">
                  <c:v>58.7</c:v>
                </c:pt>
                <c:pt idx="2">
                  <c:v>59.6</c:v>
                </c:pt>
                <c:pt idx="3">
                  <c:v>60.1</c:v>
                </c:pt>
                <c:pt idx="4">
                  <c:v>63.2</c:v>
                </c:pt>
                <c:pt idx="5">
                  <c:v>66</c:v>
                </c:pt>
                <c:pt idx="6">
                  <c:v>58.4</c:v>
                </c:pt>
                <c:pt idx="7">
                  <c:v>60</c:v>
                </c:pt>
                <c:pt idx="8">
                  <c:v>62.9</c:v>
                </c:pt>
                <c:pt idx="9">
                  <c:v>63.1</c:v>
                </c:pt>
                <c:pt idx="10">
                  <c:v>59.7</c:v>
                </c:pt>
                <c:pt idx="11">
                  <c:v>66.2</c:v>
                </c:pt>
                <c:pt idx="12">
                  <c:v>63.4</c:v>
                </c:pt>
                <c:pt idx="13">
                  <c:v>66</c:v>
                </c:pt>
                <c:pt idx="14">
                  <c:v>69</c:v>
                </c:pt>
                <c:pt idx="15">
                  <c:v>63.1</c:v>
                </c:pt>
                <c:pt idx="16">
                  <c:v>64.8</c:v>
                </c:pt>
                <c:pt idx="17">
                  <c:v>66.900000000000006</c:v>
                </c:pt>
                <c:pt idx="18">
                  <c:v>64.2</c:v>
                </c:pt>
                <c:pt idx="19">
                  <c:v>65.8</c:v>
                </c:pt>
                <c:pt idx="20">
                  <c:v>63.5</c:v>
                </c:pt>
                <c:pt idx="21">
                  <c:v>63.4</c:v>
                </c:pt>
                <c:pt idx="22">
                  <c:v>57.4</c:v>
                </c:pt>
                <c:pt idx="23">
                  <c:v>54.9</c:v>
                </c:pt>
                <c:pt idx="24">
                  <c:v>58.4</c:v>
                </c:pt>
                <c:pt idx="25">
                  <c:v>55</c:v>
                </c:pt>
                <c:pt idx="26">
                  <c:v>51.7</c:v>
                </c:pt>
                <c:pt idx="27">
                  <c:v>57.5</c:v>
                </c:pt>
                <c:pt idx="28">
                  <c:v>50.1</c:v>
                </c:pt>
                <c:pt idx="29">
                  <c:v>58.9</c:v>
                </c:pt>
                <c:pt idx="30">
                  <c:v>57.5</c:v>
                </c:pt>
                <c:pt idx="31">
                  <c:v>58.5</c:v>
                </c:pt>
                <c:pt idx="32">
                  <c:v>57.3</c:v>
                </c:pt>
                <c:pt idx="33">
                  <c:v>67.099999999999994</c:v>
                </c:pt>
                <c:pt idx="34">
                  <c:v>71.2</c:v>
                </c:pt>
                <c:pt idx="35">
                  <c:v>61.9</c:v>
                </c:pt>
                <c:pt idx="36">
                  <c:v>63.5</c:v>
                </c:pt>
                <c:pt idx="37">
                  <c:v>66</c:v>
                </c:pt>
                <c:pt idx="38">
                  <c:v>87.3</c:v>
                </c:pt>
                <c:pt idx="39">
                  <c:v>61.3</c:v>
                </c:pt>
                <c:pt idx="40">
                  <c:v>72.5</c:v>
                </c:pt>
                <c:pt idx="41">
                  <c:v>70.599999999999994</c:v>
                </c:pt>
                <c:pt idx="42">
                  <c:v>67.7</c:v>
                </c:pt>
                <c:pt idx="43">
                  <c:v>65</c:v>
                </c:pt>
                <c:pt idx="44">
                  <c:v>50</c:v>
                </c:pt>
                <c:pt idx="45">
                  <c:v>58.4</c:v>
                </c:pt>
                <c:pt idx="46">
                  <c:v>53.3</c:v>
                </c:pt>
                <c:pt idx="47">
                  <c:v>52.7</c:v>
                </c:pt>
                <c:pt idx="48">
                  <c:v>52</c:v>
                </c:pt>
                <c:pt idx="49">
                  <c:v>50.6</c:v>
                </c:pt>
              </c:numCache>
            </c:numRef>
          </c:xVal>
          <c:yVal>
            <c:numRef>
              <c:f>Data!$C$4:$C$53</c:f>
              <c:numCache>
                <c:formatCode>0.0</c:formatCode>
                <c:ptCount val="50"/>
                <c:pt idx="0">
                  <c:v>12.6</c:v>
                </c:pt>
                <c:pt idx="1">
                  <c:v>6.9</c:v>
                </c:pt>
                <c:pt idx="2">
                  <c:v>24.6</c:v>
                </c:pt>
                <c:pt idx="3">
                  <c:v>10.9</c:v>
                </c:pt>
                <c:pt idx="4">
                  <c:v>27.8</c:v>
                </c:pt>
                <c:pt idx="5">
                  <c:v>20.6</c:v>
                </c:pt>
                <c:pt idx="6">
                  <c:v>19</c:v>
                </c:pt>
                <c:pt idx="7">
                  <c:v>12.8</c:v>
                </c:pt>
                <c:pt idx="8">
                  <c:v>5.0999999999999996</c:v>
                </c:pt>
                <c:pt idx="9">
                  <c:v>12</c:v>
                </c:pt>
                <c:pt idx="10">
                  <c:v>7.5</c:v>
                </c:pt>
                <c:pt idx="11">
                  <c:v>8.5</c:v>
                </c:pt>
                <c:pt idx="12">
                  <c:v>20.5</c:v>
                </c:pt>
                <c:pt idx="13">
                  <c:v>20.8</c:v>
                </c:pt>
                <c:pt idx="14">
                  <c:v>21.7</c:v>
                </c:pt>
                <c:pt idx="15">
                  <c:v>20.5</c:v>
                </c:pt>
                <c:pt idx="16">
                  <c:v>28.1</c:v>
                </c:pt>
                <c:pt idx="17">
                  <c:v>22.4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19</c:v>
                </c:pt>
                <c:pt idx="21">
                  <c:v>15.3</c:v>
                </c:pt>
                <c:pt idx="22">
                  <c:v>15.7</c:v>
                </c:pt>
                <c:pt idx="23">
                  <c:v>17.600000000000001</c:v>
                </c:pt>
                <c:pt idx="24">
                  <c:v>14.2</c:v>
                </c:pt>
                <c:pt idx="25">
                  <c:v>4.5999999999999996</c:v>
                </c:pt>
                <c:pt idx="26">
                  <c:v>8.5</c:v>
                </c:pt>
                <c:pt idx="27">
                  <c:v>22.4</c:v>
                </c:pt>
                <c:pt idx="28">
                  <c:v>4.7</c:v>
                </c:pt>
                <c:pt idx="29">
                  <c:v>9.4</c:v>
                </c:pt>
                <c:pt idx="30">
                  <c:v>12.3</c:v>
                </c:pt>
                <c:pt idx="31">
                  <c:v>6.5</c:v>
                </c:pt>
                <c:pt idx="32">
                  <c:v>13.4</c:v>
                </c:pt>
                <c:pt idx="33">
                  <c:v>20.9</c:v>
                </c:pt>
                <c:pt idx="34">
                  <c:v>31.1</c:v>
                </c:pt>
                <c:pt idx="35">
                  <c:v>38.200000000000003</c:v>
                </c:pt>
                <c:pt idx="36">
                  <c:v>23.6</c:v>
                </c:pt>
                <c:pt idx="37">
                  <c:v>27.5</c:v>
                </c:pt>
                <c:pt idx="38">
                  <c:v>33.799999999999997</c:v>
                </c:pt>
                <c:pt idx="39">
                  <c:v>31.3</c:v>
                </c:pt>
                <c:pt idx="40">
                  <c:v>33.1</c:v>
                </c:pt>
                <c:pt idx="41">
                  <c:v>31.7</c:v>
                </c:pt>
                <c:pt idx="42">
                  <c:v>30.4</c:v>
                </c:pt>
                <c:pt idx="43">
                  <c:v>30.8</c:v>
                </c:pt>
                <c:pt idx="44">
                  <c:v>8.4</c:v>
                </c:pt>
                <c:pt idx="45">
                  <c:v>14.1</c:v>
                </c:pt>
                <c:pt idx="46">
                  <c:v>11.2</c:v>
                </c:pt>
                <c:pt idx="47">
                  <c:v>6.4</c:v>
                </c:pt>
                <c:pt idx="48">
                  <c:v>13.4</c:v>
                </c:pt>
                <c:pt idx="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2-457D-902F-106F8E489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182792"/>
        <c:axId val="248627208"/>
      </c:scatterChart>
      <c:valAx>
        <c:axId val="248182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Thigh</a:t>
                </a:r>
                <a:r>
                  <a:rPr lang="en-US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27208"/>
        <c:crosses val="autoZero"/>
        <c:crossBetween val="midCat"/>
      </c:valAx>
      <c:valAx>
        <c:axId val="248627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182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Fat Percentage and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Data!$E$3</c:f>
              <c:strCache>
                <c:ptCount val="1"/>
                <c:pt idx="0">
                  <c:v>Weight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9316200337113751E-2"/>
                  <c:y val="-7.999700313341736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1290395776484637E-2"/>
                  <c:y val="-0.109638863085441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Data!$E$4:$E$53</c:f>
              <c:numCache>
                <c:formatCode>0.00</c:formatCode>
                <c:ptCount val="50"/>
                <c:pt idx="0">
                  <c:v>154.25</c:v>
                </c:pt>
                <c:pt idx="1">
                  <c:v>173.25</c:v>
                </c:pt>
                <c:pt idx="2">
                  <c:v>154</c:v>
                </c:pt>
                <c:pt idx="3">
                  <c:v>184.75</c:v>
                </c:pt>
                <c:pt idx="4">
                  <c:v>184.25</c:v>
                </c:pt>
                <c:pt idx="5">
                  <c:v>210.25</c:v>
                </c:pt>
                <c:pt idx="6">
                  <c:v>181</c:v>
                </c:pt>
                <c:pt idx="7">
                  <c:v>176</c:v>
                </c:pt>
                <c:pt idx="8">
                  <c:v>191</c:v>
                </c:pt>
                <c:pt idx="9">
                  <c:v>198.25</c:v>
                </c:pt>
                <c:pt idx="10">
                  <c:v>186.25</c:v>
                </c:pt>
                <c:pt idx="11">
                  <c:v>216</c:v>
                </c:pt>
                <c:pt idx="12">
                  <c:v>180.5</c:v>
                </c:pt>
                <c:pt idx="13">
                  <c:v>205.25</c:v>
                </c:pt>
                <c:pt idx="14">
                  <c:v>187.75</c:v>
                </c:pt>
                <c:pt idx="15">
                  <c:v>162.75</c:v>
                </c:pt>
                <c:pt idx="16">
                  <c:v>195.75</c:v>
                </c:pt>
                <c:pt idx="17">
                  <c:v>209.25</c:v>
                </c:pt>
                <c:pt idx="18">
                  <c:v>183.75</c:v>
                </c:pt>
                <c:pt idx="19">
                  <c:v>211.75</c:v>
                </c:pt>
                <c:pt idx="20">
                  <c:v>179</c:v>
                </c:pt>
                <c:pt idx="21">
                  <c:v>200.5</c:v>
                </c:pt>
                <c:pt idx="22">
                  <c:v>140.25</c:v>
                </c:pt>
                <c:pt idx="23">
                  <c:v>148.75</c:v>
                </c:pt>
                <c:pt idx="24">
                  <c:v>151.25</c:v>
                </c:pt>
                <c:pt idx="25">
                  <c:v>159.25</c:v>
                </c:pt>
                <c:pt idx="26">
                  <c:v>131.5</c:v>
                </c:pt>
                <c:pt idx="27">
                  <c:v>148</c:v>
                </c:pt>
                <c:pt idx="28">
                  <c:v>133.25</c:v>
                </c:pt>
                <c:pt idx="29">
                  <c:v>160.75</c:v>
                </c:pt>
                <c:pt idx="30">
                  <c:v>182</c:v>
                </c:pt>
                <c:pt idx="31">
                  <c:v>160.25</c:v>
                </c:pt>
                <c:pt idx="32">
                  <c:v>168</c:v>
                </c:pt>
                <c:pt idx="33">
                  <c:v>218.5</c:v>
                </c:pt>
                <c:pt idx="34">
                  <c:v>247.25</c:v>
                </c:pt>
                <c:pt idx="35">
                  <c:v>191.75</c:v>
                </c:pt>
                <c:pt idx="36">
                  <c:v>202.25</c:v>
                </c:pt>
                <c:pt idx="37">
                  <c:v>196.75</c:v>
                </c:pt>
                <c:pt idx="38">
                  <c:v>363.15</c:v>
                </c:pt>
                <c:pt idx="39">
                  <c:v>203</c:v>
                </c:pt>
                <c:pt idx="40">
                  <c:v>262.75</c:v>
                </c:pt>
                <c:pt idx="41">
                  <c:v>205</c:v>
                </c:pt>
                <c:pt idx="42">
                  <c:v>217</c:v>
                </c:pt>
                <c:pt idx="43">
                  <c:v>212</c:v>
                </c:pt>
                <c:pt idx="44">
                  <c:v>125.25</c:v>
                </c:pt>
                <c:pt idx="45">
                  <c:v>164.25</c:v>
                </c:pt>
                <c:pt idx="46">
                  <c:v>133.5</c:v>
                </c:pt>
                <c:pt idx="47">
                  <c:v>148.5</c:v>
                </c:pt>
                <c:pt idx="48">
                  <c:v>135.75</c:v>
                </c:pt>
                <c:pt idx="49">
                  <c:v>127.5</c:v>
                </c:pt>
              </c:numCache>
            </c:numRef>
          </c:xVal>
          <c:yVal>
            <c:numRef>
              <c:f>Data!$C$4:$C$53</c:f>
              <c:numCache>
                <c:formatCode>0.0</c:formatCode>
                <c:ptCount val="50"/>
                <c:pt idx="0">
                  <c:v>12.6</c:v>
                </c:pt>
                <c:pt idx="1">
                  <c:v>6.9</c:v>
                </c:pt>
                <c:pt idx="2">
                  <c:v>24.6</c:v>
                </c:pt>
                <c:pt idx="3">
                  <c:v>10.9</c:v>
                </c:pt>
                <c:pt idx="4">
                  <c:v>27.8</c:v>
                </c:pt>
                <c:pt idx="5">
                  <c:v>20.6</c:v>
                </c:pt>
                <c:pt idx="6">
                  <c:v>19</c:v>
                </c:pt>
                <c:pt idx="7">
                  <c:v>12.8</c:v>
                </c:pt>
                <c:pt idx="8">
                  <c:v>5.0999999999999996</c:v>
                </c:pt>
                <c:pt idx="9">
                  <c:v>12</c:v>
                </c:pt>
                <c:pt idx="10">
                  <c:v>7.5</c:v>
                </c:pt>
                <c:pt idx="11">
                  <c:v>8.5</c:v>
                </c:pt>
                <c:pt idx="12">
                  <c:v>20.5</c:v>
                </c:pt>
                <c:pt idx="13">
                  <c:v>20.8</c:v>
                </c:pt>
                <c:pt idx="14">
                  <c:v>21.7</c:v>
                </c:pt>
                <c:pt idx="15">
                  <c:v>20.5</c:v>
                </c:pt>
                <c:pt idx="16">
                  <c:v>28.1</c:v>
                </c:pt>
                <c:pt idx="17">
                  <c:v>22.4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19</c:v>
                </c:pt>
                <c:pt idx="21">
                  <c:v>15.3</c:v>
                </c:pt>
                <c:pt idx="22">
                  <c:v>15.7</c:v>
                </c:pt>
                <c:pt idx="23">
                  <c:v>17.600000000000001</c:v>
                </c:pt>
                <c:pt idx="24">
                  <c:v>14.2</c:v>
                </c:pt>
                <c:pt idx="25">
                  <c:v>4.5999999999999996</c:v>
                </c:pt>
                <c:pt idx="26">
                  <c:v>8.5</c:v>
                </c:pt>
                <c:pt idx="27">
                  <c:v>22.4</c:v>
                </c:pt>
                <c:pt idx="28">
                  <c:v>4.7</c:v>
                </c:pt>
                <c:pt idx="29">
                  <c:v>9.4</c:v>
                </c:pt>
                <c:pt idx="30">
                  <c:v>12.3</c:v>
                </c:pt>
                <c:pt idx="31">
                  <c:v>6.5</c:v>
                </c:pt>
                <c:pt idx="32">
                  <c:v>13.4</c:v>
                </c:pt>
                <c:pt idx="33">
                  <c:v>20.9</c:v>
                </c:pt>
                <c:pt idx="34">
                  <c:v>31.1</c:v>
                </c:pt>
                <c:pt idx="35">
                  <c:v>38.200000000000003</c:v>
                </c:pt>
                <c:pt idx="36">
                  <c:v>23.6</c:v>
                </c:pt>
                <c:pt idx="37">
                  <c:v>27.5</c:v>
                </c:pt>
                <c:pt idx="38">
                  <c:v>33.799999999999997</c:v>
                </c:pt>
                <c:pt idx="39">
                  <c:v>31.3</c:v>
                </c:pt>
                <c:pt idx="40">
                  <c:v>33.1</c:v>
                </c:pt>
                <c:pt idx="41">
                  <c:v>31.7</c:v>
                </c:pt>
                <c:pt idx="42">
                  <c:v>30.4</c:v>
                </c:pt>
                <c:pt idx="43">
                  <c:v>30.8</c:v>
                </c:pt>
                <c:pt idx="44">
                  <c:v>8.4</c:v>
                </c:pt>
                <c:pt idx="45">
                  <c:v>14.1</c:v>
                </c:pt>
                <c:pt idx="46">
                  <c:v>11.2</c:v>
                </c:pt>
                <c:pt idx="47">
                  <c:v>6.4</c:v>
                </c:pt>
                <c:pt idx="48">
                  <c:v>13.4</c:v>
                </c:pt>
                <c:pt idx="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BF-4AB3-B1B6-C9AB986E9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830919"/>
        <c:axId val="713833479"/>
      </c:scatterChart>
      <c:valAx>
        <c:axId val="713830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33479"/>
        <c:crosses val="autoZero"/>
        <c:crossBetween val="midCat"/>
      </c:valAx>
      <c:valAx>
        <c:axId val="713833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830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Body Fat Percentage and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Data!$F$3</c:f>
              <c:strCache>
                <c:ptCount val="1"/>
                <c:pt idx="0">
                  <c:v>Height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25553608180427"/>
                  <c:y val="-2.94105321580559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5125693040869906E-2"/>
                  <c:y val="-0.470394765548588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Data!$F$4:$F$53</c:f>
              <c:numCache>
                <c:formatCode>0.00</c:formatCode>
                <c:ptCount val="50"/>
                <c:pt idx="0">
                  <c:v>67.75</c:v>
                </c:pt>
                <c:pt idx="1">
                  <c:v>72.25</c:v>
                </c:pt>
                <c:pt idx="2">
                  <c:v>66.25</c:v>
                </c:pt>
                <c:pt idx="3">
                  <c:v>72.25</c:v>
                </c:pt>
                <c:pt idx="4">
                  <c:v>71.25</c:v>
                </c:pt>
                <c:pt idx="5">
                  <c:v>74.75</c:v>
                </c:pt>
                <c:pt idx="6">
                  <c:v>69.75</c:v>
                </c:pt>
                <c:pt idx="7">
                  <c:v>72.5</c:v>
                </c:pt>
                <c:pt idx="8">
                  <c:v>74</c:v>
                </c:pt>
                <c:pt idx="9">
                  <c:v>73.5</c:v>
                </c:pt>
                <c:pt idx="10">
                  <c:v>74.5</c:v>
                </c:pt>
                <c:pt idx="11">
                  <c:v>76</c:v>
                </c:pt>
                <c:pt idx="12">
                  <c:v>69.5</c:v>
                </c:pt>
                <c:pt idx="13">
                  <c:v>71.25</c:v>
                </c:pt>
                <c:pt idx="14">
                  <c:v>69.5</c:v>
                </c:pt>
                <c:pt idx="15">
                  <c:v>66</c:v>
                </c:pt>
                <c:pt idx="16">
                  <c:v>71</c:v>
                </c:pt>
                <c:pt idx="17">
                  <c:v>71</c:v>
                </c:pt>
                <c:pt idx="18">
                  <c:v>67.75</c:v>
                </c:pt>
                <c:pt idx="19">
                  <c:v>73.5</c:v>
                </c:pt>
                <c:pt idx="20">
                  <c:v>68</c:v>
                </c:pt>
                <c:pt idx="21">
                  <c:v>69.75</c:v>
                </c:pt>
                <c:pt idx="22">
                  <c:v>68.25</c:v>
                </c:pt>
                <c:pt idx="23">
                  <c:v>70</c:v>
                </c:pt>
                <c:pt idx="24">
                  <c:v>67.75</c:v>
                </c:pt>
                <c:pt idx="25">
                  <c:v>71.5</c:v>
                </c:pt>
                <c:pt idx="26">
                  <c:v>67.5</c:v>
                </c:pt>
                <c:pt idx="27">
                  <c:v>67.5</c:v>
                </c:pt>
                <c:pt idx="28">
                  <c:v>64.75</c:v>
                </c:pt>
                <c:pt idx="29">
                  <c:v>69</c:v>
                </c:pt>
                <c:pt idx="30">
                  <c:v>73.75</c:v>
                </c:pt>
                <c:pt idx="31">
                  <c:v>71.25</c:v>
                </c:pt>
                <c:pt idx="32">
                  <c:v>71.25</c:v>
                </c:pt>
                <c:pt idx="33">
                  <c:v>71</c:v>
                </c:pt>
                <c:pt idx="34">
                  <c:v>73.5</c:v>
                </c:pt>
                <c:pt idx="35">
                  <c:v>65</c:v>
                </c:pt>
                <c:pt idx="36">
                  <c:v>70</c:v>
                </c:pt>
                <c:pt idx="37">
                  <c:v>68.25</c:v>
                </c:pt>
                <c:pt idx="38">
                  <c:v>72.25</c:v>
                </c:pt>
                <c:pt idx="39">
                  <c:v>67</c:v>
                </c:pt>
                <c:pt idx="40">
                  <c:v>68.75</c:v>
                </c:pt>
                <c:pt idx="41">
                  <c:v>29.5</c:v>
                </c:pt>
                <c:pt idx="42">
                  <c:v>70</c:v>
                </c:pt>
                <c:pt idx="43">
                  <c:v>71.5</c:v>
                </c:pt>
                <c:pt idx="44">
                  <c:v>68</c:v>
                </c:pt>
                <c:pt idx="45">
                  <c:v>73.25</c:v>
                </c:pt>
                <c:pt idx="46">
                  <c:v>67.5</c:v>
                </c:pt>
                <c:pt idx="47">
                  <c:v>71.25</c:v>
                </c:pt>
                <c:pt idx="48">
                  <c:v>68.5</c:v>
                </c:pt>
                <c:pt idx="49">
                  <c:v>66.75</c:v>
                </c:pt>
              </c:numCache>
            </c:numRef>
          </c:xVal>
          <c:yVal>
            <c:numRef>
              <c:f>Data!$C$4:$C$53</c:f>
              <c:numCache>
                <c:formatCode>0.0</c:formatCode>
                <c:ptCount val="50"/>
                <c:pt idx="0">
                  <c:v>12.6</c:v>
                </c:pt>
                <c:pt idx="1">
                  <c:v>6.9</c:v>
                </c:pt>
                <c:pt idx="2">
                  <c:v>24.6</c:v>
                </c:pt>
                <c:pt idx="3">
                  <c:v>10.9</c:v>
                </c:pt>
                <c:pt idx="4">
                  <c:v>27.8</c:v>
                </c:pt>
                <c:pt idx="5">
                  <c:v>20.6</c:v>
                </c:pt>
                <c:pt idx="6">
                  <c:v>19</c:v>
                </c:pt>
                <c:pt idx="7">
                  <c:v>12.8</c:v>
                </c:pt>
                <c:pt idx="8">
                  <c:v>5.0999999999999996</c:v>
                </c:pt>
                <c:pt idx="9">
                  <c:v>12</c:v>
                </c:pt>
                <c:pt idx="10">
                  <c:v>7.5</c:v>
                </c:pt>
                <c:pt idx="11">
                  <c:v>8.5</c:v>
                </c:pt>
                <c:pt idx="12">
                  <c:v>20.5</c:v>
                </c:pt>
                <c:pt idx="13">
                  <c:v>20.8</c:v>
                </c:pt>
                <c:pt idx="14">
                  <c:v>21.7</c:v>
                </c:pt>
                <c:pt idx="15">
                  <c:v>20.5</c:v>
                </c:pt>
                <c:pt idx="16">
                  <c:v>28.1</c:v>
                </c:pt>
                <c:pt idx="17">
                  <c:v>22.4</c:v>
                </c:pt>
                <c:pt idx="18">
                  <c:v>16.100000000000001</c:v>
                </c:pt>
                <c:pt idx="19">
                  <c:v>16.5</c:v>
                </c:pt>
                <c:pt idx="20">
                  <c:v>19</c:v>
                </c:pt>
                <c:pt idx="21">
                  <c:v>15.3</c:v>
                </c:pt>
                <c:pt idx="22">
                  <c:v>15.7</c:v>
                </c:pt>
                <c:pt idx="23">
                  <c:v>17.600000000000001</c:v>
                </c:pt>
                <c:pt idx="24">
                  <c:v>14.2</c:v>
                </c:pt>
                <c:pt idx="25">
                  <c:v>4.5999999999999996</c:v>
                </c:pt>
                <c:pt idx="26">
                  <c:v>8.5</c:v>
                </c:pt>
                <c:pt idx="27">
                  <c:v>22.4</c:v>
                </c:pt>
                <c:pt idx="28">
                  <c:v>4.7</c:v>
                </c:pt>
                <c:pt idx="29">
                  <c:v>9.4</c:v>
                </c:pt>
                <c:pt idx="30">
                  <c:v>12.3</c:v>
                </c:pt>
                <c:pt idx="31">
                  <c:v>6.5</c:v>
                </c:pt>
                <c:pt idx="32">
                  <c:v>13.4</c:v>
                </c:pt>
                <c:pt idx="33">
                  <c:v>20.9</c:v>
                </c:pt>
                <c:pt idx="34">
                  <c:v>31.1</c:v>
                </c:pt>
                <c:pt idx="35">
                  <c:v>38.200000000000003</c:v>
                </c:pt>
                <c:pt idx="36">
                  <c:v>23.6</c:v>
                </c:pt>
                <c:pt idx="37">
                  <c:v>27.5</c:v>
                </c:pt>
                <c:pt idx="38">
                  <c:v>33.799999999999997</c:v>
                </c:pt>
                <c:pt idx="39">
                  <c:v>31.3</c:v>
                </c:pt>
                <c:pt idx="40">
                  <c:v>33.1</c:v>
                </c:pt>
                <c:pt idx="41">
                  <c:v>31.7</c:v>
                </c:pt>
                <c:pt idx="42">
                  <c:v>30.4</c:v>
                </c:pt>
                <c:pt idx="43">
                  <c:v>30.8</c:v>
                </c:pt>
                <c:pt idx="44">
                  <c:v>8.4</c:v>
                </c:pt>
                <c:pt idx="45">
                  <c:v>14.1</c:v>
                </c:pt>
                <c:pt idx="46">
                  <c:v>11.2</c:v>
                </c:pt>
                <c:pt idx="47">
                  <c:v>6.4</c:v>
                </c:pt>
                <c:pt idx="48">
                  <c:v>13.4</c:v>
                </c:pt>
                <c:pt idx="4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A4-E04A-BD28-0EADF1DE6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55071"/>
        <c:axId val="153359167"/>
      </c:scatterChart>
      <c:valAx>
        <c:axId val="60155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59167"/>
        <c:crosses val="autoZero"/>
        <c:crossBetween val="midCat"/>
      </c:valAx>
      <c:valAx>
        <c:axId val="1533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Fat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5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13</xdr:row>
      <xdr:rowOff>114300</xdr:rowOff>
    </xdr:from>
    <xdr:to>
      <xdr:col>15</xdr:col>
      <xdr:colOff>142875</xdr:colOff>
      <xdr:row>18</xdr:row>
      <xdr:rowOff>47625</xdr:rowOff>
    </xdr:to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6677025" y="2247900"/>
          <a:ext cx="2343150" cy="7429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Source:</a:t>
          </a:r>
          <a:r>
            <a:rPr lang="en-US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Roger W. Johnson (1996), “Fitting Percentage of Body Fat to Simple Body Measurements,”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Journal of Statistics Education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, Vol. 4, No. 1.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11</xdr:col>
      <xdr:colOff>276225</xdr:colOff>
      <xdr:row>19</xdr:row>
      <xdr:rowOff>114300</xdr:rowOff>
    </xdr:from>
    <xdr:to>
      <xdr:col>15</xdr:col>
      <xdr:colOff>161925</xdr:colOff>
      <xdr:row>28</xdr:row>
      <xdr:rowOff>114300</xdr:rowOff>
    </xdr:to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6715125" y="3219450"/>
          <a:ext cx="2324100" cy="145732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1" u="none" strike="noStrike" baseline="0">
              <a:solidFill>
                <a:srgbClr val="800000"/>
              </a:solidFill>
              <a:latin typeface="Arial"/>
              <a:cs typeface="Arial"/>
            </a:rPr>
            <a:t>Variable Names: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Fat%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percent body fat,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Age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age (yrs),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Weight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weight (lbs),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Height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height (in.),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Neck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neck circumference (cm),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Chest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chest circumference (cm),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Abdomen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abdomen circumference (cm),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Hip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hip circumference (cm), </a:t>
          </a:r>
          <a:r>
            <a:rPr lang="en-US" sz="1000" b="0" i="1" u="none" strike="noStrike" baseline="0">
              <a:solidFill>
                <a:srgbClr val="000000"/>
              </a:solidFill>
              <a:latin typeface="Arial"/>
              <a:cs typeface="Arial"/>
            </a:rPr>
            <a:t>Thigh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= thigh circumference (cm).  </a:t>
          </a:r>
        </a:p>
      </xdr:txBody>
    </xdr:sp>
    <xdr:clientData/>
  </xdr:twoCellAnchor>
  <xdr:twoCellAnchor editAs="oneCell">
    <xdr:from>
      <xdr:col>12</xdr:col>
      <xdr:colOff>0</xdr:colOff>
      <xdr:row>2</xdr:row>
      <xdr:rowOff>0</xdr:rowOff>
    </xdr:from>
    <xdr:to>
      <xdr:col>15</xdr:col>
      <xdr:colOff>219075</xdr:colOff>
      <xdr:row>11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B8684E-965F-4BAA-82B1-CB797A68B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352425"/>
          <a:ext cx="2047875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581025</xdr:colOff>
      <xdr:row>2</xdr:row>
      <xdr:rowOff>19050</xdr:rowOff>
    </xdr:from>
    <xdr:to>
      <xdr:col>19</xdr:col>
      <xdr:colOff>571500</xdr:colOff>
      <xdr:row>21</xdr:row>
      <xdr:rowOff>142875</xdr:rowOff>
    </xdr:to>
    <xdr:graphicFrame macro="">
      <xdr:nvGraphicFramePr>
        <xdr:cNvPr id="36" name="Chart 2">
          <a:extLst>
            <a:ext uri="{FF2B5EF4-FFF2-40B4-BE49-F238E27FC236}">
              <a16:creationId xmlns:a16="http://schemas.microsoft.com/office/drawing/2014/main" id="{55A756D0-AB90-4EE7-9454-73E2EEAC7E1D}"/>
            </a:ext>
            <a:ext uri="{147F2762-F138-4A5C-976F-8EAC2B608ADB}">
              <a16:predDERef xmlns:a16="http://schemas.microsoft.com/office/drawing/2014/main" pred="{52B8684E-965F-4BAA-82B1-CB797A68B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67</xdr:row>
      <xdr:rowOff>0</xdr:rowOff>
    </xdr:from>
    <xdr:to>
      <xdr:col>20</xdr:col>
      <xdr:colOff>0</xdr:colOff>
      <xdr:row>86</xdr:row>
      <xdr:rowOff>142875</xdr:rowOff>
    </xdr:to>
    <xdr:graphicFrame macro="">
      <xdr:nvGraphicFramePr>
        <xdr:cNvPr id="72" name="Chart 3">
          <a:extLst>
            <a:ext uri="{FF2B5EF4-FFF2-40B4-BE49-F238E27FC236}">
              <a16:creationId xmlns:a16="http://schemas.microsoft.com/office/drawing/2014/main" id="{B13B2DA9-2C53-41D1-B540-A7A5F52CC72C}"/>
            </a:ext>
            <a:ext uri="{147F2762-F138-4A5C-976F-8EAC2B608ADB}">
              <a16:predDERef xmlns:a16="http://schemas.microsoft.com/office/drawing/2014/main" pred="{55A756D0-AB90-4EE7-9454-73E2EEAC7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88</xdr:row>
      <xdr:rowOff>0</xdr:rowOff>
    </xdr:from>
    <xdr:to>
      <xdr:col>20</xdr:col>
      <xdr:colOff>0</xdr:colOff>
      <xdr:row>107</xdr:row>
      <xdr:rowOff>152400</xdr:rowOff>
    </xdr:to>
    <xdr:graphicFrame macro="">
      <xdr:nvGraphicFramePr>
        <xdr:cNvPr id="57" name="Chart 4">
          <a:extLst>
            <a:ext uri="{FF2B5EF4-FFF2-40B4-BE49-F238E27FC236}">
              <a16:creationId xmlns:a16="http://schemas.microsoft.com/office/drawing/2014/main" id="{7B810B09-F1F8-4046-B278-B9D1DF6FCB2C}"/>
            </a:ext>
            <a:ext uri="{147F2762-F138-4A5C-976F-8EAC2B608ADB}">
              <a16:predDERef xmlns:a16="http://schemas.microsoft.com/office/drawing/2014/main" pred="{B13B2DA9-2C53-41D1-B540-A7A5F52CC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590550</xdr:colOff>
      <xdr:row>109</xdr:row>
      <xdr:rowOff>0</xdr:rowOff>
    </xdr:from>
    <xdr:to>
      <xdr:col>19</xdr:col>
      <xdr:colOff>590550</xdr:colOff>
      <xdr:row>127</xdr:row>
      <xdr:rowOff>9525</xdr:rowOff>
    </xdr:to>
    <xdr:graphicFrame macro="">
      <xdr:nvGraphicFramePr>
        <xdr:cNvPr id="71" name="Chart 5">
          <a:extLst>
            <a:ext uri="{FF2B5EF4-FFF2-40B4-BE49-F238E27FC236}">
              <a16:creationId xmlns:a16="http://schemas.microsoft.com/office/drawing/2014/main" id="{CE30AD66-F836-4EBD-862D-F6EE4037DA04}"/>
            </a:ext>
            <a:ext uri="{147F2762-F138-4A5C-976F-8EAC2B608ADB}">
              <a16:predDERef xmlns:a16="http://schemas.microsoft.com/office/drawing/2014/main" pred="{7B810B09-F1F8-4046-B278-B9D1DF6FC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130</xdr:row>
      <xdr:rowOff>9525</xdr:rowOff>
    </xdr:from>
    <xdr:to>
      <xdr:col>19</xdr:col>
      <xdr:colOff>600075</xdr:colOff>
      <xdr:row>148</xdr:row>
      <xdr:rowOff>142875</xdr:rowOff>
    </xdr:to>
    <xdr:graphicFrame macro="">
      <xdr:nvGraphicFramePr>
        <xdr:cNvPr id="66" name="Chart 6">
          <a:extLst>
            <a:ext uri="{FF2B5EF4-FFF2-40B4-BE49-F238E27FC236}">
              <a16:creationId xmlns:a16="http://schemas.microsoft.com/office/drawing/2014/main" id="{20A06D9B-D01B-4A25-BCA8-FBA71FE94532}"/>
            </a:ext>
            <a:ext uri="{147F2762-F138-4A5C-976F-8EAC2B608ADB}">
              <a16:predDERef xmlns:a16="http://schemas.microsoft.com/office/drawing/2014/main" pred="{CE30AD66-F836-4EBD-862D-F6EE4037D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600075</xdr:colOff>
      <xdr:row>151</xdr:row>
      <xdr:rowOff>9525</xdr:rowOff>
    </xdr:from>
    <xdr:to>
      <xdr:col>20</xdr:col>
      <xdr:colOff>0</xdr:colOff>
      <xdr:row>171</xdr:row>
      <xdr:rowOff>0</xdr:rowOff>
    </xdr:to>
    <xdr:graphicFrame macro="">
      <xdr:nvGraphicFramePr>
        <xdr:cNvPr id="70" name="Chart 9">
          <a:extLst>
            <a:ext uri="{FF2B5EF4-FFF2-40B4-BE49-F238E27FC236}">
              <a16:creationId xmlns:a16="http://schemas.microsoft.com/office/drawing/2014/main" id="{C42FED52-F934-4A14-94C2-767F8C00A98C}"/>
            </a:ext>
            <a:ext uri="{147F2762-F138-4A5C-976F-8EAC2B608ADB}">
              <a16:predDERef xmlns:a16="http://schemas.microsoft.com/office/drawing/2014/main" pred="{20A06D9B-D01B-4A25-BCA8-FBA71FE94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23</xdr:row>
      <xdr:rowOff>9525</xdr:rowOff>
    </xdr:from>
    <xdr:to>
      <xdr:col>19</xdr:col>
      <xdr:colOff>561975</xdr:colOff>
      <xdr:row>42</xdr:row>
      <xdr:rowOff>133350</xdr:rowOff>
    </xdr:to>
    <xdr:graphicFrame macro="">
      <xdr:nvGraphicFramePr>
        <xdr:cNvPr id="48" name="Chart 8">
          <a:extLst>
            <a:ext uri="{FF2B5EF4-FFF2-40B4-BE49-F238E27FC236}">
              <a16:creationId xmlns:a16="http://schemas.microsoft.com/office/drawing/2014/main" id="{B4A64A2B-180F-4E29-A8B3-FED540ABE7AC}"/>
            </a:ext>
            <a:ext uri="{147F2762-F138-4A5C-976F-8EAC2B608ADB}">
              <a16:predDERef xmlns:a16="http://schemas.microsoft.com/office/drawing/2014/main" pred="{C42FED52-F934-4A14-94C2-767F8C00A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571500</xdr:colOff>
      <xdr:row>46</xdr:row>
      <xdr:rowOff>0</xdr:rowOff>
    </xdr:from>
    <xdr:to>
      <xdr:col>19</xdr:col>
      <xdr:colOff>581025</xdr:colOff>
      <xdr:row>66</xdr:row>
      <xdr:rowOff>0</xdr:rowOff>
    </xdr:to>
    <xdr:graphicFrame macro="">
      <xdr:nvGraphicFramePr>
        <xdr:cNvPr id="51" name="Chart 4">
          <a:extLst>
            <a:ext uri="{FF2B5EF4-FFF2-40B4-BE49-F238E27FC236}">
              <a16:creationId xmlns:a16="http://schemas.microsoft.com/office/drawing/2014/main" id="{2CD3527B-D188-6346-AAD0-C7B5751AA33E}"/>
            </a:ext>
            <a:ext uri="{147F2762-F138-4A5C-976F-8EAC2B608ADB}">
              <a16:predDERef xmlns:a16="http://schemas.microsoft.com/office/drawing/2014/main" pred="{B4A64A2B-180F-4E29-A8B3-FED540ABE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0.66898</cdr:x>
      <cdr:y>0.03845</cdr:y>
    </cdr:from>
    <cdr:to>
      <cdr:x>0.99299</cdr:x>
      <cdr:y>0.10585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1DBF49-FB24-421C-76F9-30D2DD541DF0}"/>
            </a:ext>
          </a:extLst>
        </cdr:cNvPr>
        <cdr:cNvSpPr txBox="1"/>
      </cdr:nvSpPr>
      <cdr:spPr>
        <a:xfrm xmlns:a="http://schemas.openxmlformats.org/drawingml/2006/main">
          <a:off x="4000811" y="125090"/>
          <a:ext cx="1937710" cy="2192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571500</xdr:colOff>
      <xdr:row>0</xdr:row>
      <xdr:rowOff>123825</xdr:rowOff>
    </xdr:from>
    <xdr:to>
      <xdr:col>6</xdr:col>
      <xdr:colOff>0</xdr:colOff>
      <xdr:row>4</xdr:row>
      <xdr:rowOff>9525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2FC22ACE-79E0-1791-72CA-F7346F632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123825"/>
          <a:ext cx="4829175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4</xdr:col>
      <xdr:colOff>3371850</xdr:colOff>
      <xdr:row>24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ADBC81-0FF9-2CC2-ADB1-1AB709F4430F}"/>
            </a:ext>
          </a:extLst>
        </xdr:cNvPr>
        <xdr:cNvSpPr txBox="1"/>
      </xdr:nvSpPr>
      <xdr:spPr>
        <a:xfrm>
          <a:off x="590550" y="2266950"/>
          <a:ext cx="6391275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sng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Observation:</a:t>
          </a:r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Since </a:t>
          </a:r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Abdomen, Thigh, and Weight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are the only variables with a P-value less than 0.05, they are statistically significant. </a:t>
          </a:r>
        </a:p>
      </xdr:txBody>
    </xdr:sp>
    <xdr:clientData/>
  </xdr:twoCellAnchor>
  <xdr:twoCellAnchor editAs="oneCell">
    <xdr:from>
      <xdr:col>0</xdr:col>
      <xdr:colOff>485775</xdr:colOff>
      <xdr:row>0</xdr:row>
      <xdr:rowOff>28575</xdr:rowOff>
    </xdr:from>
    <xdr:to>
      <xdr:col>5</xdr:col>
      <xdr:colOff>257175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072583-20CF-6C38-01D1-7A411DC383B9}"/>
            </a:ext>
            <a:ext uri="{147F2762-F138-4A5C-976F-8EAC2B608ADB}">
              <a16:predDERef xmlns:a16="http://schemas.microsoft.com/office/drawing/2014/main" pred="{2CADBC81-0FF9-2CC2-ADB1-1AB709F4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28575"/>
          <a:ext cx="6886575" cy="647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23</xdr:row>
      <xdr:rowOff>0</xdr:rowOff>
    </xdr:from>
    <xdr:to>
      <xdr:col>10</xdr:col>
      <xdr:colOff>600075</xdr:colOff>
      <xdr:row>26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BD7DD4-7CB7-C175-E52F-1B9D44535886}"/>
            </a:ext>
            <a:ext uri="{147F2762-F138-4A5C-976F-8EAC2B608ADB}">
              <a16:predDERef xmlns:a16="http://schemas.microsoft.com/office/drawing/2014/main" pred="{8C87C956-17D0-C4AE-B9A0-0450EC5EB939}"/>
            </a:ext>
          </a:extLst>
        </xdr:cNvPr>
        <xdr:cNvSpPr txBox="1"/>
      </xdr:nvSpPr>
      <xdr:spPr>
        <a:xfrm>
          <a:off x="600075" y="3352800"/>
          <a:ext cx="632460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accent1">
              <a:lumMod val="20000"/>
              <a:lumOff val="8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Note: 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We are not looking at the correlation between Fat% and the predictors, which is our dependent variable.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We only looking at the correlation between the predictors (i.e weight and age).</a:t>
          </a:r>
        </a:p>
      </xdr:txBody>
    </xdr:sp>
    <xdr:clientData/>
  </xdr:twoCellAnchor>
  <xdr:twoCellAnchor>
    <xdr:from>
      <xdr:col>2</xdr:col>
      <xdr:colOff>133350</xdr:colOff>
      <xdr:row>18</xdr:row>
      <xdr:rowOff>142875</xdr:rowOff>
    </xdr:from>
    <xdr:to>
      <xdr:col>10</xdr:col>
      <xdr:colOff>600075</xdr:colOff>
      <xdr:row>22</xdr:row>
      <xdr:rowOff>9525</xdr:rowOff>
    </xdr:to>
    <xdr:sp macro="" textlink="">
      <xdr:nvSpPr>
        <xdr:cNvPr id="3" name="TextBox 6">
          <a:extLst>
            <a:ext uri="{FF2B5EF4-FFF2-40B4-BE49-F238E27FC236}">
              <a16:creationId xmlns:a16="http://schemas.microsoft.com/office/drawing/2014/main" id="{55B7EF67-3700-3F00-2FB1-2D2BA4BC5697}"/>
            </a:ext>
            <a:ext uri="{147F2762-F138-4A5C-976F-8EAC2B608ADB}">
              <a16:predDERef xmlns:a16="http://schemas.microsoft.com/office/drawing/2014/main" pred="{0EBD7DD4-7CB7-C175-E52F-1B9D44535886}"/>
            </a:ext>
          </a:extLst>
        </xdr:cNvPr>
        <xdr:cNvSpPr txBox="1"/>
      </xdr:nvSpPr>
      <xdr:spPr>
        <a:xfrm>
          <a:off x="1581150" y="2676525"/>
          <a:ext cx="534352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Highlighted cells have correlation values greater than or equal to 0.80, indicating a moderately strong to extremely strong correlation.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276225</xdr:colOff>
      <xdr:row>23</xdr:row>
      <xdr:rowOff>0</xdr:rowOff>
    </xdr:from>
    <xdr:to>
      <xdr:col>43</xdr:col>
      <xdr:colOff>28575</xdr:colOff>
      <xdr:row>45</xdr:row>
      <xdr:rowOff>9525</xdr:rowOff>
    </xdr:to>
    <xdr:sp macro="" textlink="">
      <xdr:nvSpPr>
        <xdr:cNvPr id="11" name="Rounded Rectangle 2">
          <a:extLst>
            <a:ext uri="{FF2B5EF4-FFF2-40B4-BE49-F238E27FC236}">
              <a16:creationId xmlns:a16="http://schemas.microsoft.com/office/drawing/2014/main" id="{ABD551C1-95DF-B84B-A233-5D57A0A99476}"/>
            </a:ext>
          </a:extLst>
        </xdr:cNvPr>
        <xdr:cNvSpPr/>
      </xdr:nvSpPr>
      <xdr:spPr>
        <a:xfrm>
          <a:off x="23641050" y="3752850"/>
          <a:ext cx="9048750" cy="3571875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238125</xdr:colOff>
      <xdr:row>2</xdr:row>
      <xdr:rowOff>9525</xdr:rowOff>
    </xdr:from>
    <xdr:to>
      <xdr:col>53</xdr:col>
      <xdr:colOff>514350</xdr:colOff>
      <xdr:row>25</xdr:row>
      <xdr:rowOff>19050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C993908-0FCB-4D68-8E42-5330546C11C9}"/>
            </a:ext>
          </a:extLst>
        </xdr:cNvPr>
        <xdr:cNvSpPr/>
      </xdr:nvSpPr>
      <xdr:spPr>
        <a:xfrm>
          <a:off x="34299525" y="361950"/>
          <a:ext cx="9010650" cy="3571875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295275</xdr:colOff>
      <xdr:row>24</xdr:row>
      <xdr:rowOff>133350</xdr:rowOff>
    </xdr:from>
    <xdr:to>
      <xdr:col>44</xdr:col>
      <xdr:colOff>28575</xdr:colOff>
      <xdr:row>47</xdr:row>
      <xdr:rowOff>142875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568CD704-AF78-46F8-9026-E98BB6E4DE7D}"/>
            </a:ext>
          </a:extLst>
        </xdr:cNvPr>
        <xdr:cNvSpPr/>
      </xdr:nvSpPr>
      <xdr:spPr>
        <a:xfrm>
          <a:off x="25346025" y="4048125"/>
          <a:ext cx="8991600" cy="3733800"/>
        </a:xfrm>
        <a:prstGeom prst="roundRect">
          <a:avLst/>
        </a:prstGeom>
        <a:noFill/>
        <a:ln w="127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2</xdr:row>
      <xdr:rowOff>95250</xdr:rowOff>
    </xdr:from>
    <xdr:to>
      <xdr:col>4</xdr:col>
      <xdr:colOff>581025</xdr:colOff>
      <xdr:row>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3BE477-D5AD-6A52-D568-64CE2E275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419100"/>
          <a:ext cx="4572000" cy="81915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19050</xdr:rowOff>
    </xdr:from>
    <xdr:to>
      <xdr:col>3</xdr:col>
      <xdr:colOff>1219200</xdr:colOff>
      <xdr:row>37</xdr:row>
      <xdr:rowOff>0</xdr:rowOff>
    </xdr:to>
    <xdr:sp macro="" textlink="">
      <xdr:nvSpPr>
        <xdr:cNvPr id="30" name="TextBox 2">
          <a:extLst>
            <a:ext uri="{FF2B5EF4-FFF2-40B4-BE49-F238E27FC236}">
              <a16:creationId xmlns:a16="http://schemas.microsoft.com/office/drawing/2014/main" id="{C837428C-C8D9-8155-56B1-A9670B39F56A}"/>
            </a:ext>
            <a:ext uri="{147F2762-F138-4A5C-976F-8EAC2B608ADB}">
              <a16:predDERef xmlns:a16="http://schemas.microsoft.com/office/drawing/2014/main" pred="{EA3BE477-D5AD-6A52-D568-64CE2E275803}"/>
            </a:ext>
          </a:extLst>
        </xdr:cNvPr>
        <xdr:cNvSpPr txBox="1"/>
      </xdr:nvSpPr>
      <xdr:spPr>
        <a:xfrm>
          <a:off x="609600" y="5181600"/>
          <a:ext cx="385762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cy-GB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Regression model: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cy-GB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ŷ = -59.002 + 0.950X1 + -0.277X2+ 0.651X3</a:t>
          </a:r>
        </a:p>
        <a:p>
          <a:pPr marL="0" indent="0" algn="l"/>
          <a:endParaRPr lang="cy-GB" sz="1100" b="0" i="0" u="none" strike="noStrike">
            <a:solidFill>
              <a:srgbClr val="000000"/>
            </a:solidFill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  <a:p>
          <a:pPr marL="0" indent="0" algn="l"/>
          <a:r>
            <a:rPr lang="cy-GB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Where, X1 is abdomen size, X2 is weight and X3 is thigh size.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9DE0C6-1C38-45FC-B72A-1FBB6B381733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265147F3-6B37-4F64-9636-4CD71AAE9B01}"/>
    <we:binding id="Input" type="matrix" appref="{6D286E5C-B078-4445-AECF-F69D0E3CDFBA}"/>
    <we:binding id="Output" type="matrix" appref="{599D52B8-234C-4331-AFF9-7C4A3264681E}"/>
    <we:binding id="InputY" type="matrix" appref="{D449CAAE-7342-44B5-A06A-9EDD0FC09F29}"/>
    <we:binding id="InputX" type="matrix" appref="{4735B650-05D8-43BD-8C23-342A260709D0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76"/>
  <sheetViews>
    <sheetView zoomScale="66" workbookViewId="0">
      <selection activeCell="S15" sqref="S15"/>
    </sheetView>
  </sheetViews>
  <sheetFormatPr baseColWidth="10" defaultColWidth="8.83203125" defaultRowHeight="13" x14ac:dyDescent="0.15"/>
  <cols>
    <col min="1" max="1" width="5.1640625" customWidth="1"/>
    <col min="2" max="4" width="9.1640625" bestFit="1" customWidth="1"/>
    <col min="5" max="5" width="12.5" bestFit="1" customWidth="1"/>
    <col min="6" max="9" width="9.1640625" bestFit="1" customWidth="1"/>
    <col min="22" max="24" width="9.1640625" bestFit="1" customWidth="1"/>
    <col min="25" max="25" width="12.5" bestFit="1" customWidth="1"/>
    <col min="26" max="26" width="12.6640625" bestFit="1" customWidth="1"/>
    <col min="27" max="29" width="9.1640625" bestFit="1" customWidth="1"/>
  </cols>
  <sheetData>
    <row r="1" spans="2:19" ht="16" x14ac:dyDescent="0.2">
      <c r="B1" s="16" t="s">
        <v>0</v>
      </c>
    </row>
    <row r="3" spans="2:19" x14ac:dyDescent="0.15">
      <c r="B3" s="17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18" t="s">
        <v>6</v>
      </c>
      <c r="H3" s="18" t="s">
        <v>7</v>
      </c>
      <c r="I3" s="18" t="s">
        <v>8</v>
      </c>
      <c r="J3" s="18" t="s">
        <v>9</v>
      </c>
      <c r="K3" s="19" t="s">
        <v>10</v>
      </c>
      <c r="R3" s="106"/>
      <c r="S3" s="106"/>
    </row>
    <row r="4" spans="2:19" x14ac:dyDescent="0.15">
      <c r="B4" s="1">
        <v>1</v>
      </c>
      <c r="C4" s="2">
        <v>12.6</v>
      </c>
      <c r="D4" s="3">
        <v>23</v>
      </c>
      <c r="E4" s="4">
        <v>154.25</v>
      </c>
      <c r="F4" s="4">
        <v>67.75</v>
      </c>
      <c r="G4" s="2">
        <v>36.200000000000003</v>
      </c>
      <c r="H4" s="2">
        <v>93.1</v>
      </c>
      <c r="I4" s="2">
        <v>85.2</v>
      </c>
      <c r="J4" s="2">
        <v>94.5</v>
      </c>
      <c r="K4" s="5">
        <v>59</v>
      </c>
      <c r="R4" s="106"/>
      <c r="S4" s="128"/>
    </row>
    <row r="5" spans="2:19" x14ac:dyDescent="0.15">
      <c r="B5" s="6">
        <v>2</v>
      </c>
      <c r="C5" s="7">
        <v>6.9</v>
      </c>
      <c r="D5" s="8">
        <v>22</v>
      </c>
      <c r="E5" s="9">
        <v>173.25</v>
      </c>
      <c r="F5" s="9">
        <v>72.25</v>
      </c>
      <c r="G5" s="7">
        <v>38.5</v>
      </c>
      <c r="H5" s="7">
        <v>93.6</v>
      </c>
      <c r="I5" s="7">
        <v>83</v>
      </c>
      <c r="J5" s="7">
        <v>98.7</v>
      </c>
      <c r="K5" s="10">
        <v>58.7</v>
      </c>
      <c r="R5" s="106"/>
      <c r="S5" s="128"/>
    </row>
    <row r="6" spans="2:19" x14ac:dyDescent="0.15">
      <c r="B6" s="6">
        <v>3</v>
      </c>
      <c r="C6" s="7">
        <v>24.6</v>
      </c>
      <c r="D6" s="8">
        <v>22</v>
      </c>
      <c r="E6" s="9">
        <v>154</v>
      </c>
      <c r="F6" s="9">
        <v>66.25</v>
      </c>
      <c r="G6" s="7">
        <v>34</v>
      </c>
      <c r="H6" s="7">
        <v>95.8</v>
      </c>
      <c r="I6" s="7">
        <v>87.9</v>
      </c>
      <c r="J6" s="7">
        <v>99.2</v>
      </c>
      <c r="K6" s="10">
        <v>59.6</v>
      </c>
      <c r="R6" s="106"/>
      <c r="S6" s="128"/>
    </row>
    <row r="7" spans="2:19" x14ac:dyDescent="0.15">
      <c r="B7" s="6">
        <v>4</v>
      </c>
      <c r="C7" s="7">
        <v>10.9</v>
      </c>
      <c r="D7" s="8">
        <v>26</v>
      </c>
      <c r="E7" s="9">
        <v>184.75</v>
      </c>
      <c r="F7" s="9">
        <v>72.25</v>
      </c>
      <c r="G7" s="7">
        <v>37.4</v>
      </c>
      <c r="H7" s="7">
        <v>101.8</v>
      </c>
      <c r="I7" s="7">
        <v>86.4</v>
      </c>
      <c r="J7" s="7">
        <v>101.2</v>
      </c>
      <c r="K7" s="10">
        <v>60.1</v>
      </c>
      <c r="R7" s="106"/>
      <c r="S7" s="128"/>
    </row>
    <row r="8" spans="2:19" x14ac:dyDescent="0.15">
      <c r="B8" s="6">
        <v>5</v>
      </c>
      <c r="C8" s="7">
        <v>27.8</v>
      </c>
      <c r="D8" s="8">
        <v>24</v>
      </c>
      <c r="E8" s="9">
        <v>184.25</v>
      </c>
      <c r="F8" s="9">
        <v>71.25</v>
      </c>
      <c r="G8" s="7">
        <v>34.4</v>
      </c>
      <c r="H8" s="7">
        <v>97.3</v>
      </c>
      <c r="I8" s="7">
        <v>100</v>
      </c>
      <c r="J8" s="7">
        <v>101.9</v>
      </c>
      <c r="K8" s="10">
        <v>63.2</v>
      </c>
      <c r="R8" s="106"/>
      <c r="S8" s="128"/>
    </row>
    <row r="9" spans="2:19" x14ac:dyDescent="0.15">
      <c r="B9" s="6">
        <v>6</v>
      </c>
      <c r="C9" s="7">
        <v>20.6</v>
      </c>
      <c r="D9" s="8">
        <v>24</v>
      </c>
      <c r="E9" s="9">
        <v>210.25</v>
      </c>
      <c r="F9" s="9">
        <v>74.75</v>
      </c>
      <c r="G9" s="7">
        <v>39</v>
      </c>
      <c r="H9" s="7">
        <v>104.5</v>
      </c>
      <c r="I9" s="7">
        <v>94.4</v>
      </c>
      <c r="J9" s="7">
        <v>107.8</v>
      </c>
      <c r="K9" s="10">
        <v>66</v>
      </c>
      <c r="R9" s="106"/>
      <c r="S9" s="128"/>
    </row>
    <row r="10" spans="2:19" x14ac:dyDescent="0.15">
      <c r="B10" s="6">
        <v>7</v>
      </c>
      <c r="C10" s="7">
        <v>19</v>
      </c>
      <c r="D10" s="8">
        <v>26</v>
      </c>
      <c r="E10" s="9">
        <v>181</v>
      </c>
      <c r="F10" s="9">
        <v>69.75</v>
      </c>
      <c r="G10" s="7">
        <v>36.4</v>
      </c>
      <c r="H10" s="7">
        <v>105.1</v>
      </c>
      <c r="I10" s="7">
        <v>90.7</v>
      </c>
      <c r="J10" s="7">
        <v>100.3</v>
      </c>
      <c r="K10" s="10">
        <v>58.4</v>
      </c>
      <c r="R10" s="106"/>
      <c r="S10" s="128"/>
    </row>
    <row r="11" spans="2:19" x14ac:dyDescent="0.15">
      <c r="B11" s="6">
        <v>8</v>
      </c>
      <c r="C11" s="7">
        <v>12.8</v>
      </c>
      <c r="D11" s="8">
        <v>25</v>
      </c>
      <c r="E11" s="9">
        <v>176</v>
      </c>
      <c r="F11" s="9">
        <v>72.5</v>
      </c>
      <c r="G11" s="7">
        <v>37.799999999999997</v>
      </c>
      <c r="H11" s="7">
        <v>99.6</v>
      </c>
      <c r="I11" s="7">
        <v>88.5</v>
      </c>
      <c r="J11" s="7">
        <v>97.1</v>
      </c>
      <c r="K11" s="10">
        <v>60</v>
      </c>
      <c r="R11" s="106"/>
      <c r="S11" s="128"/>
    </row>
    <row r="12" spans="2:19" x14ac:dyDescent="0.15">
      <c r="B12" s="6">
        <v>9</v>
      </c>
      <c r="C12" s="7">
        <v>5.0999999999999996</v>
      </c>
      <c r="D12" s="8">
        <v>25</v>
      </c>
      <c r="E12" s="9">
        <v>191</v>
      </c>
      <c r="F12" s="9">
        <v>74</v>
      </c>
      <c r="G12" s="7">
        <v>38.1</v>
      </c>
      <c r="H12" s="7">
        <v>100.9</v>
      </c>
      <c r="I12" s="7">
        <v>82.5</v>
      </c>
      <c r="J12" s="7">
        <v>99.9</v>
      </c>
      <c r="K12" s="10">
        <v>62.9</v>
      </c>
      <c r="R12" s="106"/>
      <c r="S12" s="128"/>
    </row>
    <row r="13" spans="2:19" x14ac:dyDescent="0.15">
      <c r="B13" s="6">
        <v>10</v>
      </c>
      <c r="C13" s="7">
        <v>12</v>
      </c>
      <c r="D13" s="8">
        <v>23</v>
      </c>
      <c r="E13" s="9">
        <v>198.25</v>
      </c>
      <c r="F13" s="9">
        <v>73.5</v>
      </c>
      <c r="G13" s="7">
        <v>42.1</v>
      </c>
      <c r="H13" s="7">
        <v>99.6</v>
      </c>
      <c r="I13" s="7">
        <v>88.6</v>
      </c>
      <c r="J13" s="7">
        <v>104.1</v>
      </c>
      <c r="K13" s="10">
        <v>63.1</v>
      </c>
      <c r="R13" s="106"/>
      <c r="S13" s="128"/>
    </row>
    <row r="14" spans="2:19" x14ac:dyDescent="0.15">
      <c r="B14" s="6">
        <v>11</v>
      </c>
      <c r="C14" s="7">
        <v>7.5</v>
      </c>
      <c r="D14" s="8">
        <v>26</v>
      </c>
      <c r="E14" s="9">
        <v>186.25</v>
      </c>
      <c r="F14" s="9">
        <v>74.5</v>
      </c>
      <c r="G14" s="7">
        <v>38.5</v>
      </c>
      <c r="H14" s="7">
        <v>101.5</v>
      </c>
      <c r="I14" s="7">
        <v>83.6</v>
      </c>
      <c r="J14" s="7">
        <v>98.2</v>
      </c>
      <c r="K14" s="10">
        <v>59.7</v>
      </c>
      <c r="R14" s="106"/>
      <c r="S14" s="128"/>
    </row>
    <row r="15" spans="2:19" x14ac:dyDescent="0.15">
      <c r="B15" s="6">
        <v>12</v>
      </c>
      <c r="C15" s="7">
        <v>8.5</v>
      </c>
      <c r="D15" s="8">
        <v>27</v>
      </c>
      <c r="E15" s="9">
        <v>216</v>
      </c>
      <c r="F15" s="9">
        <v>76</v>
      </c>
      <c r="G15" s="7">
        <v>39.4</v>
      </c>
      <c r="H15" s="7">
        <v>103.6</v>
      </c>
      <c r="I15" s="7">
        <v>90.9</v>
      </c>
      <c r="J15" s="7">
        <v>107.7</v>
      </c>
      <c r="K15" s="10">
        <v>66.2</v>
      </c>
      <c r="R15" s="106"/>
      <c r="S15" s="128"/>
    </row>
    <row r="16" spans="2:19" x14ac:dyDescent="0.15">
      <c r="B16" s="6">
        <v>13</v>
      </c>
      <c r="C16" s="7">
        <v>20.5</v>
      </c>
      <c r="D16" s="8">
        <v>32</v>
      </c>
      <c r="E16" s="9">
        <v>180.5</v>
      </c>
      <c r="F16" s="9">
        <v>69.5</v>
      </c>
      <c r="G16" s="7">
        <v>38.4</v>
      </c>
      <c r="H16" s="7">
        <v>102</v>
      </c>
      <c r="I16" s="7">
        <v>91.6</v>
      </c>
      <c r="J16" s="7">
        <v>103.9</v>
      </c>
      <c r="K16" s="10">
        <v>63.4</v>
      </c>
      <c r="R16" s="106"/>
      <c r="S16" s="128"/>
    </row>
    <row r="17" spans="2:26" x14ac:dyDescent="0.15">
      <c r="B17" s="6">
        <v>14</v>
      </c>
      <c r="C17" s="7">
        <v>20.8</v>
      </c>
      <c r="D17" s="8">
        <v>30</v>
      </c>
      <c r="E17" s="9">
        <v>205.25</v>
      </c>
      <c r="F17" s="9">
        <v>71.25</v>
      </c>
      <c r="G17" s="7">
        <v>39.4</v>
      </c>
      <c r="H17" s="7">
        <v>104.1</v>
      </c>
      <c r="I17" s="7">
        <v>101.8</v>
      </c>
      <c r="J17" s="7">
        <v>108.6</v>
      </c>
      <c r="K17" s="10">
        <v>66</v>
      </c>
      <c r="R17" s="106"/>
      <c r="S17" s="128"/>
    </row>
    <row r="18" spans="2:26" x14ac:dyDescent="0.15">
      <c r="B18" s="6">
        <v>15</v>
      </c>
      <c r="C18" s="7">
        <v>21.7</v>
      </c>
      <c r="D18" s="8">
        <v>35</v>
      </c>
      <c r="E18" s="9">
        <v>187.75</v>
      </c>
      <c r="F18" s="9">
        <v>69.5</v>
      </c>
      <c r="G18" s="7">
        <v>40.5</v>
      </c>
      <c r="H18" s="7">
        <v>101.3</v>
      </c>
      <c r="I18" s="7">
        <v>96.4</v>
      </c>
      <c r="J18" s="7">
        <v>100.1</v>
      </c>
      <c r="K18" s="10">
        <v>69</v>
      </c>
      <c r="R18" s="106"/>
      <c r="S18" s="128"/>
    </row>
    <row r="19" spans="2:26" x14ac:dyDescent="0.15">
      <c r="B19" s="6">
        <v>16</v>
      </c>
      <c r="C19" s="7">
        <v>20.5</v>
      </c>
      <c r="D19" s="8">
        <v>35</v>
      </c>
      <c r="E19" s="9">
        <v>162.75</v>
      </c>
      <c r="F19" s="9">
        <v>66</v>
      </c>
      <c r="G19" s="7">
        <v>36.4</v>
      </c>
      <c r="H19" s="7">
        <v>99.1</v>
      </c>
      <c r="I19" s="7">
        <v>92.8</v>
      </c>
      <c r="J19" s="7">
        <v>99.2</v>
      </c>
      <c r="K19" s="10">
        <v>63.1</v>
      </c>
      <c r="R19" s="106"/>
      <c r="S19" s="128"/>
    </row>
    <row r="20" spans="2:26" x14ac:dyDescent="0.15">
      <c r="B20" s="6">
        <v>17</v>
      </c>
      <c r="C20" s="7">
        <v>28.1</v>
      </c>
      <c r="D20" s="8">
        <v>34</v>
      </c>
      <c r="E20" s="9">
        <v>195.75</v>
      </c>
      <c r="F20" s="9">
        <v>71</v>
      </c>
      <c r="G20" s="7">
        <v>38.9</v>
      </c>
      <c r="H20" s="7">
        <v>101.9</v>
      </c>
      <c r="I20" s="7">
        <v>96.4</v>
      </c>
      <c r="J20" s="7">
        <v>105.2</v>
      </c>
      <c r="K20" s="10">
        <v>64.8</v>
      </c>
      <c r="R20" s="106"/>
      <c r="S20" s="128"/>
    </row>
    <row r="21" spans="2:26" x14ac:dyDescent="0.15">
      <c r="B21" s="6">
        <v>18</v>
      </c>
      <c r="C21" s="7">
        <v>22.4</v>
      </c>
      <c r="D21" s="8">
        <v>32</v>
      </c>
      <c r="E21" s="9">
        <v>209.25</v>
      </c>
      <c r="F21" s="9">
        <v>71</v>
      </c>
      <c r="G21" s="7">
        <v>42.1</v>
      </c>
      <c r="H21" s="7">
        <v>107.6</v>
      </c>
      <c r="I21" s="7">
        <v>97.5</v>
      </c>
      <c r="J21" s="7">
        <v>107</v>
      </c>
      <c r="K21" s="10">
        <v>66.900000000000006</v>
      </c>
      <c r="R21" s="106"/>
      <c r="S21" s="128"/>
    </row>
    <row r="22" spans="2:26" x14ac:dyDescent="0.15">
      <c r="B22" s="6">
        <v>19</v>
      </c>
      <c r="C22" s="7">
        <v>16.100000000000001</v>
      </c>
      <c r="D22" s="8">
        <v>28</v>
      </c>
      <c r="E22" s="9">
        <v>183.75</v>
      </c>
      <c r="F22" s="9">
        <v>67.75</v>
      </c>
      <c r="G22" s="7">
        <v>38</v>
      </c>
      <c r="H22" s="7">
        <v>106.8</v>
      </c>
      <c r="I22" s="7">
        <v>89.6</v>
      </c>
      <c r="J22" s="7">
        <v>102.4</v>
      </c>
      <c r="K22" s="10">
        <v>64.2</v>
      </c>
      <c r="R22" s="106"/>
      <c r="S22" s="128"/>
    </row>
    <row r="23" spans="2:26" x14ac:dyDescent="0.15">
      <c r="B23" s="6">
        <v>20</v>
      </c>
      <c r="C23" s="7">
        <v>16.5</v>
      </c>
      <c r="D23" s="8">
        <v>33</v>
      </c>
      <c r="E23" s="9">
        <v>211.75</v>
      </c>
      <c r="F23" s="9">
        <v>73.5</v>
      </c>
      <c r="G23" s="7">
        <v>40</v>
      </c>
      <c r="H23" s="7">
        <v>106.2</v>
      </c>
      <c r="I23" s="7">
        <v>100.5</v>
      </c>
      <c r="J23" s="7">
        <v>109</v>
      </c>
      <c r="K23" s="10">
        <v>65.8</v>
      </c>
      <c r="R23" s="106"/>
      <c r="S23" s="128"/>
    </row>
    <row r="24" spans="2:26" x14ac:dyDescent="0.15">
      <c r="B24" s="6">
        <v>21</v>
      </c>
      <c r="C24" s="7">
        <v>19</v>
      </c>
      <c r="D24" s="8">
        <v>28</v>
      </c>
      <c r="E24" s="9">
        <v>179</v>
      </c>
      <c r="F24" s="9">
        <v>68</v>
      </c>
      <c r="G24" s="7">
        <v>39.1</v>
      </c>
      <c r="H24" s="7">
        <v>103.3</v>
      </c>
      <c r="I24" s="7">
        <v>95.9</v>
      </c>
      <c r="J24" s="7">
        <v>104.9</v>
      </c>
      <c r="K24" s="10">
        <v>63.5</v>
      </c>
      <c r="R24" s="106"/>
      <c r="S24" s="128"/>
    </row>
    <row r="25" spans="2:26" x14ac:dyDescent="0.15">
      <c r="B25" s="6">
        <v>22</v>
      </c>
      <c r="C25" s="7">
        <v>15.3</v>
      </c>
      <c r="D25" s="8">
        <v>28</v>
      </c>
      <c r="E25" s="9">
        <v>200.5</v>
      </c>
      <c r="F25" s="9">
        <v>69.75</v>
      </c>
      <c r="G25" s="7">
        <v>41.3</v>
      </c>
      <c r="H25" s="7">
        <v>111.4</v>
      </c>
      <c r="I25" s="7">
        <v>98.8</v>
      </c>
      <c r="J25" s="7">
        <v>104.8</v>
      </c>
      <c r="K25" s="10">
        <v>63.4</v>
      </c>
      <c r="R25" s="106"/>
      <c r="S25" s="128"/>
    </row>
    <row r="26" spans="2:26" x14ac:dyDescent="0.15">
      <c r="B26" s="6">
        <v>23</v>
      </c>
      <c r="C26" s="7">
        <v>15.7</v>
      </c>
      <c r="D26" s="8">
        <v>31</v>
      </c>
      <c r="E26" s="9">
        <v>140.25</v>
      </c>
      <c r="F26" s="9">
        <v>68.25</v>
      </c>
      <c r="G26" s="7">
        <v>33.9</v>
      </c>
      <c r="H26" s="7">
        <v>86</v>
      </c>
      <c r="I26" s="7">
        <v>76.400000000000006</v>
      </c>
      <c r="J26" s="7">
        <v>94.6</v>
      </c>
      <c r="K26" s="10">
        <v>57.4</v>
      </c>
      <c r="R26" s="106"/>
      <c r="S26" s="128"/>
    </row>
    <row r="27" spans="2:26" x14ac:dyDescent="0.15">
      <c r="B27" s="6">
        <v>24</v>
      </c>
      <c r="C27" s="7">
        <v>17.600000000000001</v>
      </c>
      <c r="D27" s="8">
        <v>32</v>
      </c>
      <c r="E27" s="9">
        <v>148.75</v>
      </c>
      <c r="F27" s="9">
        <v>70</v>
      </c>
      <c r="G27" s="7">
        <v>35.5</v>
      </c>
      <c r="H27" s="7">
        <v>86.7</v>
      </c>
      <c r="I27" s="7">
        <v>80</v>
      </c>
      <c r="J27" s="7">
        <v>93.4</v>
      </c>
      <c r="K27" s="10">
        <v>54.9</v>
      </c>
      <c r="R27" s="106"/>
      <c r="S27" s="128"/>
      <c r="Z27" s="91"/>
    </row>
    <row r="28" spans="2:26" x14ac:dyDescent="0.15">
      <c r="B28" s="6">
        <v>25</v>
      </c>
      <c r="C28" s="7">
        <v>14.2</v>
      </c>
      <c r="D28" s="8">
        <v>28</v>
      </c>
      <c r="E28" s="9">
        <v>151.25</v>
      </c>
      <c r="F28" s="9">
        <v>67.75</v>
      </c>
      <c r="G28" s="7">
        <v>34.5</v>
      </c>
      <c r="H28" s="7">
        <v>90.2</v>
      </c>
      <c r="I28" s="7">
        <v>76.3</v>
      </c>
      <c r="J28" s="7">
        <v>95.8</v>
      </c>
      <c r="K28" s="10">
        <v>58.4</v>
      </c>
      <c r="R28" s="106"/>
      <c r="S28" s="128"/>
    </row>
    <row r="29" spans="2:26" x14ac:dyDescent="0.15">
      <c r="B29" s="6">
        <v>26</v>
      </c>
      <c r="C29" s="7">
        <v>4.5999999999999996</v>
      </c>
      <c r="D29" s="8">
        <v>27</v>
      </c>
      <c r="E29" s="9">
        <v>159.25</v>
      </c>
      <c r="F29" s="9">
        <v>71.5</v>
      </c>
      <c r="G29" s="7">
        <v>35.700000000000003</v>
      </c>
      <c r="H29" s="7">
        <v>89.6</v>
      </c>
      <c r="I29" s="7">
        <v>79.7</v>
      </c>
      <c r="J29" s="7">
        <v>96.5</v>
      </c>
      <c r="K29" s="10">
        <v>55</v>
      </c>
      <c r="R29" s="106"/>
      <c r="S29" s="128"/>
    </row>
    <row r="30" spans="2:26" x14ac:dyDescent="0.15">
      <c r="B30" s="6">
        <v>27</v>
      </c>
      <c r="C30" s="7">
        <v>8.5</v>
      </c>
      <c r="D30" s="8">
        <v>34</v>
      </c>
      <c r="E30" s="9">
        <v>131.5</v>
      </c>
      <c r="F30" s="9">
        <v>67.5</v>
      </c>
      <c r="G30" s="7">
        <v>36.200000000000003</v>
      </c>
      <c r="H30" s="7">
        <v>88.6</v>
      </c>
      <c r="I30" s="7">
        <v>74.599999999999994</v>
      </c>
      <c r="J30" s="7">
        <v>85.3</v>
      </c>
      <c r="K30" s="10">
        <v>51.7</v>
      </c>
      <c r="R30" s="106"/>
      <c r="S30" s="128"/>
    </row>
    <row r="31" spans="2:26" x14ac:dyDescent="0.15">
      <c r="B31" s="6">
        <v>28</v>
      </c>
      <c r="C31" s="7">
        <v>22.4</v>
      </c>
      <c r="D31" s="8">
        <v>31</v>
      </c>
      <c r="E31" s="9">
        <v>148</v>
      </c>
      <c r="F31" s="9">
        <v>67.5</v>
      </c>
      <c r="G31" s="7">
        <v>38.799999999999997</v>
      </c>
      <c r="H31" s="7">
        <v>97.4</v>
      </c>
      <c r="I31" s="7">
        <v>88.7</v>
      </c>
      <c r="J31" s="7">
        <v>94.7</v>
      </c>
      <c r="K31" s="10">
        <v>57.5</v>
      </c>
      <c r="R31" s="106"/>
      <c r="S31" s="128"/>
    </row>
    <row r="32" spans="2:26" x14ac:dyDescent="0.15">
      <c r="B32" s="6">
        <v>29</v>
      </c>
      <c r="C32" s="7">
        <v>4.7</v>
      </c>
      <c r="D32" s="8">
        <v>27</v>
      </c>
      <c r="E32" s="9">
        <v>133.25</v>
      </c>
      <c r="F32" s="9">
        <v>64.75</v>
      </c>
      <c r="G32" s="7">
        <v>36.4</v>
      </c>
      <c r="H32" s="7">
        <v>93.5</v>
      </c>
      <c r="I32" s="7">
        <v>73.900000000000006</v>
      </c>
      <c r="J32" s="7">
        <v>88.5</v>
      </c>
      <c r="K32" s="10">
        <v>50.1</v>
      </c>
      <c r="R32" s="106"/>
      <c r="S32" s="128"/>
    </row>
    <row r="33" spans="2:19" x14ac:dyDescent="0.15">
      <c r="B33" s="6">
        <v>30</v>
      </c>
      <c r="C33" s="7">
        <v>9.4</v>
      </c>
      <c r="D33" s="8">
        <v>29</v>
      </c>
      <c r="E33" s="9">
        <v>160.75</v>
      </c>
      <c r="F33" s="9">
        <v>69</v>
      </c>
      <c r="G33" s="7">
        <v>36.700000000000003</v>
      </c>
      <c r="H33" s="7">
        <v>97.4</v>
      </c>
      <c r="I33" s="7">
        <v>83.5</v>
      </c>
      <c r="J33" s="7">
        <v>98.7</v>
      </c>
      <c r="K33" s="10">
        <v>58.9</v>
      </c>
      <c r="R33" s="106"/>
      <c r="S33" s="128"/>
    </row>
    <row r="34" spans="2:19" x14ac:dyDescent="0.15">
      <c r="B34" s="6">
        <v>31</v>
      </c>
      <c r="C34" s="7">
        <v>12.3</v>
      </c>
      <c r="D34" s="8">
        <v>32</v>
      </c>
      <c r="E34" s="9">
        <v>182</v>
      </c>
      <c r="F34" s="9">
        <v>73.75</v>
      </c>
      <c r="G34" s="7">
        <v>38.700000000000003</v>
      </c>
      <c r="H34" s="7">
        <v>100.5</v>
      </c>
      <c r="I34" s="7">
        <v>88.7</v>
      </c>
      <c r="J34" s="7">
        <v>99.8</v>
      </c>
      <c r="K34" s="10">
        <v>57.5</v>
      </c>
      <c r="R34" s="106"/>
      <c r="S34" s="128"/>
    </row>
    <row r="35" spans="2:19" x14ac:dyDescent="0.15">
      <c r="B35" s="6">
        <v>32</v>
      </c>
      <c r="C35" s="7">
        <v>6.5</v>
      </c>
      <c r="D35" s="8">
        <v>29</v>
      </c>
      <c r="E35" s="9">
        <v>160.25</v>
      </c>
      <c r="F35" s="9">
        <v>71.25</v>
      </c>
      <c r="G35" s="7">
        <v>37.299999999999997</v>
      </c>
      <c r="H35" s="7">
        <v>93.5</v>
      </c>
      <c r="I35" s="7">
        <v>84.5</v>
      </c>
      <c r="J35" s="7">
        <v>100.6</v>
      </c>
      <c r="K35" s="10">
        <v>58.5</v>
      </c>
      <c r="R35" s="106"/>
      <c r="S35" s="128"/>
    </row>
    <row r="36" spans="2:19" x14ac:dyDescent="0.15">
      <c r="B36" s="6">
        <v>33</v>
      </c>
      <c r="C36" s="7">
        <v>13.4</v>
      </c>
      <c r="D36" s="8">
        <v>27</v>
      </c>
      <c r="E36" s="9">
        <v>168</v>
      </c>
      <c r="F36" s="9">
        <v>71.25</v>
      </c>
      <c r="G36" s="7">
        <v>38.1</v>
      </c>
      <c r="H36" s="7">
        <v>93</v>
      </c>
      <c r="I36" s="7">
        <v>79.099999999999994</v>
      </c>
      <c r="J36" s="7">
        <v>94.5</v>
      </c>
      <c r="K36" s="10">
        <v>57.3</v>
      </c>
      <c r="R36" s="106"/>
      <c r="S36" s="128"/>
    </row>
    <row r="37" spans="2:19" x14ac:dyDescent="0.15">
      <c r="B37" s="6">
        <v>34</v>
      </c>
      <c r="C37" s="7">
        <v>20.9</v>
      </c>
      <c r="D37" s="8">
        <v>41</v>
      </c>
      <c r="E37" s="9">
        <v>218.5</v>
      </c>
      <c r="F37" s="9">
        <v>71</v>
      </c>
      <c r="G37" s="7">
        <v>39.799999999999997</v>
      </c>
      <c r="H37" s="7">
        <v>111.7</v>
      </c>
      <c r="I37" s="7">
        <v>100.5</v>
      </c>
      <c r="J37" s="7">
        <v>108.3</v>
      </c>
      <c r="K37" s="10">
        <v>67.099999999999994</v>
      </c>
      <c r="R37" s="106"/>
      <c r="S37" s="128"/>
    </row>
    <row r="38" spans="2:19" x14ac:dyDescent="0.15">
      <c r="B38" s="6">
        <v>35</v>
      </c>
      <c r="C38" s="7">
        <v>31.1</v>
      </c>
      <c r="D38" s="8">
        <v>41</v>
      </c>
      <c r="E38" s="9">
        <v>247.25</v>
      </c>
      <c r="F38" s="9">
        <v>73.5</v>
      </c>
      <c r="G38" s="7">
        <v>42.1</v>
      </c>
      <c r="H38" s="7">
        <v>117</v>
      </c>
      <c r="I38" s="7">
        <v>115.6</v>
      </c>
      <c r="J38" s="7">
        <v>116.1</v>
      </c>
      <c r="K38" s="10">
        <v>71.2</v>
      </c>
      <c r="R38" s="106"/>
      <c r="S38" s="128"/>
    </row>
    <row r="39" spans="2:19" x14ac:dyDescent="0.15">
      <c r="B39" s="6">
        <v>36</v>
      </c>
      <c r="C39" s="7">
        <v>38.200000000000003</v>
      </c>
      <c r="D39" s="8">
        <v>49</v>
      </c>
      <c r="E39" s="9">
        <v>191.75</v>
      </c>
      <c r="F39" s="9">
        <v>65</v>
      </c>
      <c r="G39" s="7">
        <v>38.4</v>
      </c>
      <c r="H39" s="7">
        <v>118.5</v>
      </c>
      <c r="I39" s="7">
        <v>113.1</v>
      </c>
      <c r="J39" s="7">
        <v>113.8</v>
      </c>
      <c r="K39" s="10">
        <v>61.9</v>
      </c>
      <c r="R39" s="106"/>
      <c r="S39" s="128"/>
    </row>
    <row r="40" spans="2:19" x14ac:dyDescent="0.15">
      <c r="B40" s="6">
        <v>37</v>
      </c>
      <c r="C40" s="7">
        <v>23.6</v>
      </c>
      <c r="D40" s="8">
        <v>40</v>
      </c>
      <c r="E40" s="9">
        <v>202.25</v>
      </c>
      <c r="F40" s="9">
        <v>70</v>
      </c>
      <c r="G40" s="7">
        <v>38.5</v>
      </c>
      <c r="H40" s="7">
        <v>106.5</v>
      </c>
      <c r="I40" s="7">
        <v>100.9</v>
      </c>
      <c r="J40" s="7">
        <v>106.2</v>
      </c>
      <c r="K40" s="10">
        <v>63.5</v>
      </c>
      <c r="R40" s="106"/>
      <c r="S40" s="128"/>
    </row>
    <row r="41" spans="2:19" x14ac:dyDescent="0.15">
      <c r="B41" s="6">
        <v>38</v>
      </c>
      <c r="C41" s="7">
        <v>27.5</v>
      </c>
      <c r="D41" s="8">
        <v>50</v>
      </c>
      <c r="E41" s="9">
        <v>196.75</v>
      </c>
      <c r="F41" s="9">
        <v>68.25</v>
      </c>
      <c r="G41" s="7">
        <v>42.1</v>
      </c>
      <c r="H41" s="7">
        <v>105.6</v>
      </c>
      <c r="I41" s="7">
        <v>98.8</v>
      </c>
      <c r="J41" s="7">
        <v>104.8</v>
      </c>
      <c r="K41" s="10">
        <v>66</v>
      </c>
      <c r="R41" s="106"/>
      <c r="S41" s="128"/>
    </row>
    <row r="42" spans="2:19" x14ac:dyDescent="0.15">
      <c r="B42" s="6">
        <v>39</v>
      </c>
      <c r="C42" s="7">
        <v>33.799999999999997</v>
      </c>
      <c r="D42" s="8">
        <v>46</v>
      </c>
      <c r="E42" s="9">
        <v>363.15</v>
      </c>
      <c r="F42" s="9">
        <v>72.25</v>
      </c>
      <c r="G42" s="7">
        <v>51.2</v>
      </c>
      <c r="H42" s="7">
        <v>136.19999999999999</v>
      </c>
      <c r="I42" s="7">
        <v>148.1</v>
      </c>
      <c r="J42" s="7">
        <v>147.69999999999999</v>
      </c>
      <c r="K42" s="10">
        <v>87.3</v>
      </c>
      <c r="R42" s="106"/>
      <c r="S42" s="128"/>
    </row>
    <row r="43" spans="2:19" x14ac:dyDescent="0.15">
      <c r="B43" s="6">
        <v>40</v>
      </c>
      <c r="C43" s="7">
        <v>31.3</v>
      </c>
      <c r="D43" s="8">
        <v>50</v>
      </c>
      <c r="E43" s="9">
        <v>203</v>
      </c>
      <c r="F43" s="9">
        <v>67</v>
      </c>
      <c r="G43" s="7">
        <v>40.200000000000003</v>
      </c>
      <c r="H43" s="7">
        <v>114.8</v>
      </c>
      <c r="I43" s="7">
        <v>108.1</v>
      </c>
      <c r="J43" s="7">
        <v>102.5</v>
      </c>
      <c r="K43" s="10">
        <v>61.3</v>
      </c>
      <c r="R43" s="106"/>
      <c r="S43" s="128"/>
    </row>
    <row r="44" spans="2:19" x14ac:dyDescent="0.15">
      <c r="B44" s="6">
        <v>41</v>
      </c>
      <c r="C44" s="7">
        <v>33.1</v>
      </c>
      <c r="D44" s="8">
        <v>45</v>
      </c>
      <c r="E44" s="9">
        <v>262.75</v>
      </c>
      <c r="F44" s="9">
        <v>68.75</v>
      </c>
      <c r="G44" s="7">
        <v>43.2</v>
      </c>
      <c r="H44" s="7">
        <v>128.30000000000001</v>
      </c>
      <c r="I44" s="7">
        <v>126.2</v>
      </c>
      <c r="J44" s="7">
        <v>125.6</v>
      </c>
      <c r="K44" s="10">
        <v>72.5</v>
      </c>
      <c r="R44" s="106"/>
      <c r="S44" s="128"/>
    </row>
    <row r="45" spans="2:19" x14ac:dyDescent="0.15">
      <c r="B45" s="6">
        <v>42</v>
      </c>
      <c r="C45" s="7">
        <v>31.7</v>
      </c>
      <c r="D45" s="8">
        <v>44</v>
      </c>
      <c r="E45" s="9">
        <v>205</v>
      </c>
      <c r="F45" s="9">
        <v>29.5</v>
      </c>
      <c r="G45" s="7">
        <v>36.6</v>
      </c>
      <c r="H45" s="7">
        <v>106</v>
      </c>
      <c r="I45" s="7">
        <v>104.3</v>
      </c>
      <c r="J45" s="7">
        <v>115.5</v>
      </c>
      <c r="K45" s="10">
        <v>70.599999999999994</v>
      </c>
      <c r="R45" s="106"/>
      <c r="S45" s="128"/>
    </row>
    <row r="46" spans="2:19" x14ac:dyDescent="0.15">
      <c r="B46" s="6">
        <v>43</v>
      </c>
      <c r="C46" s="7">
        <v>30.4</v>
      </c>
      <c r="D46" s="8">
        <v>48</v>
      </c>
      <c r="E46" s="9">
        <v>217</v>
      </c>
      <c r="F46" s="9">
        <v>70</v>
      </c>
      <c r="G46" s="7">
        <v>37.299999999999997</v>
      </c>
      <c r="H46" s="7">
        <v>113.3</v>
      </c>
      <c r="I46" s="7">
        <v>111.2</v>
      </c>
      <c r="J46" s="7">
        <v>114.1</v>
      </c>
      <c r="K46" s="10">
        <v>67.7</v>
      </c>
      <c r="R46" s="106"/>
      <c r="S46" s="128"/>
    </row>
    <row r="47" spans="2:19" x14ac:dyDescent="0.15">
      <c r="B47" s="6">
        <v>44</v>
      </c>
      <c r="C47" s="7">
        <v>30.8</v>
      </c>
      <c r="D47" s="8">
        <v>41</v>
      </c>
      <c r="E47" s="9">
        <v>212</v>
      </c>
      <c r="F47" s="9">
        <v>71.5</v>
      </c>
      <c r="G47" s="7">
        <v>41.5</v>
      </c>
      <c r="H47" s="7">
        <v>106.6</v>
      </c>
      <c r="I47" s="7">
        <v>104.3</v>
      </c>
      <c r="J47" s="7">
        <v>106</v>
      </c>
      <c r="K47" s="10">
        <v>65</v>
      </c>
      <c r="R47" s="106"/>
      <c r="S47" s="128"/>
    </row>
    <row r="48" spans="2:19" x14ac:dyDescent="0.15">
      <c r="B48" s="6">
        <v>45</v>
      </c>
      <c r="C48" s="7">
        <v>8.4</v>
      </c>
      <c r="D48" s="8">
        <v>39</v>
      </c>
      <c r="E48" s="9">
        <v>125.25</v>
      </c>
      <c r="F48" s="9">
        <v>68</v>
      </c>
      <c r="G48" s="7">
        <v>31.5</v>
      </c>
      <c r="H48" s="7">
        <v>85.1</v>
      </c>
      <c r="I48" s="7">
        <v>76</v>
      </c>
      <c r="J48" s="7">
        <v>88.2</v>
      </c>
      <c r="K48" s="10">
        <v>50</v>
      </c>
      <c r="R48" s="106"/>
      <c r="S48" s="128"/>
    </row>
    <row r="49" spans="2:19" x14ac:dyDescent="0.15">
      <c r="B49" s="6">
        <v>46</v>
      </c>
      <c r="C49" s="7">
        <v>14.1</v>
      </c>
      <c r="D49" s="8">
        <v>43</v>
      </c>
      <c r="E49" s="9">
        <v>164.25</v>
      </c>
      <c r="F49" s="9">
        <v>73.25</v>
      </c>
      <c r="G49" s="7">
        <v>35.700000000000003</v>
      </c>
      <c r="H49" s="7">
        <v>96.6</v>
      </c>
      <c r="I49" s="7">
        <v>81.5</v>
      </c>
      <c r="J49" s="7">
        <v>97.2</v>
      </c>
      <c r="K49" s="10">
        <v>58.4</v>
      </c>
      <c r="R49" s="106"/>
      <c r="S49" s="128"/>
    </row>
    <row r="50" spans="2:19" x14ac:dyDescent="0.15">
      <c r="B50" s="6">
        <v>47</v>
      </c>
      <c r="C50" s="7">
        <v>11.2</v>
      </c>
      <c r="D50" s="8">
        <v>40</v>
      </c>
      <c r="E50" s="9">
        <v>133.5</v>
      </c>
      <c r="F50" s="9">
        <v>67.5</v>
      </c>
      <c r="G50" s="7">
        <v>33.6</v>
      </c>
      <c r="H50" s="7">
        <v>88.2</v>
      </c>
      <c r="I50" s="7">
        <v>73.7</v>
      </c>
      <c r="J50" s="7">
        <v>88.5</v>
      </c>
      <c r="K50" s="10">
        <v>53.3</v>
      </c>
      <c r="R50" s="106"/>
      <c r="S50" s="128"/>
    </row>
    <row r="51" spans="2:19" x14ac:dyDescent="0.15">
      <c r="B51" s="6">
        <v>48</v>
      </c>
      <c r="C51" s="7">
        <v>6.4</v>
      </c>
      <c r="D51" s="8">
        <v>39</v>
      </c>
      <c r="E51" s="9">
        <v>148.5</v>
      </c>
      <c r="F51" s="9">
        <v>71.25</v>
      </c>
      <c r="G51" s="7">
        <v>34.6</v>
      </c>
      <c r="H51" s="7">
        <v>89.8</v>
      </c>
      <c r="I51" s="7">
        <v>79.5</v>
      </c>
      <c r="J51" s="7">
        <v>92.7</v>
      </c>
      <c r="K51" s="10">
        <v>52.7</v>
      </c>
      <c r="R51" s="106"/>
      <c r="S51" s="128"/>
    </row>
    <row r="52" spans="2:19" x14ac:dyDescent="0.15">
      <c r="B52" s="6">
        <v>49</v>
      </c>
      <c r="C52" s="7">
        <v>13.4</v>
      </c>
      <c r="D52" s="8">
        <v>45</v>
      </c>
      <c r="E52" s="9">
        <v>135.75</v>
      </c>
      <c r="F52" s="9">
        <v>68.5</v>
      </c>
      <c r="G52" s="7">
        <v>32.799999999999997</v>
      </c>
      <c r="H52" s="7">
        <v>92.3</v>
      </c>
      <c r="I52" s="7">
        <v>83.4</v>
      </c>
      <c r="J52" s="7">
        <v>90.4</v>
      </c>
      <c r="K52" s="10">
        <v>52</v>
      </c>
      <c r="R52" s="106"/>
      <c r="S52" s="128"/>
    </row>
    <row r="53" spans="2:19" x14ac:dyDescent="0.15">
      <c r="B53" s="11">
        <v>50</v>
      </c>
      <c r="C53" s="12">
        <v>5</v>
      </c>
      <c r="D53" s="13">
        <v>47</v>
      </c>
      <c r="E53" s="14">
        <v>127.5</v>
      </c>
      <c r="F53" s="14">
        <v>66.75</v>
      </c>
      <c r="G53" s="12">
        <v>34</v>
      </c>
      <c r="H53" s="12">
        <v>83.4</v>
      </c>
      <c r="I53" s="12">
        <v>70.400000000000006</v>
      </c>
      <c r="J53" s="12">
        <v>87.2</v>
      </c>
      <c r="K53" s="15">
        <v>50.6</v>
      </c>
      <c r="R53" s="106"/>
      <c r="S53" s="128"/>
    </row>
    <row r="68" spans="1:6" x14ac:dyDescent="0.15">
      <c r="A68" s="20"/>
      <c r="B68" s="20"/>
    </row>
    <row r="76" spans="1:6" x14ac:dyDescent="0.15">
      <c r="A76" s="20"/>
      <c r="B76" s="20"/>
      <c r="C76" s="20"/>
      <c r="D76" s="20"/>
      <c r="E76" s="20"/>
      <c r="F76" s="20"/>
    </row>
  </sheetData>
  <phoneticPr fontId="0" type="noConversion"/>
  <pageMargins left="0.75" right="0.75" top="1" bottom="1" header="0.5" footer="0.5"/>
  <pageSetup scale="71" orientation="landscape" horizontalDpi="1200" verticalDpi="1200" r:id="rId1"/>
  <headerFooter alignWithMargins="0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265147F3-6B37-4F64-9636-4CD71AAE9B01}">
          <xm:f>'IMPR Step 6'!1:1048576</xm:f>
        </x15:webExtension>
        <x15:webExtension appRef="{D449CAAE-7342-44B5-A06A-9EDD0FC09F29}">
          <xm:f>'IMPR Step 6'!$B$4:$B$54</xm:f>
        </x15:webExtension>
        <x15:webExtension appRef="{4735B650-05D8-43BD-8C23-342A260709D0}">
          <xm:f>'IMPR Step 6'!$C$4:$E$54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0AF9-33CE-DB45-B878-8A1AFD4E963E}">
  <dimension ref="B3:AF186"/>
  <sheetViews>
    <sheetView tabSelected="1" topLeftCell="A127" zoomScale="75" workbookViewId="0">
      <selection activeCell="I176" sqref="I176"/>
    </sheetView>
  </sheetViews>
  <sheetFormatPr baseColWidth="10" defaultColWidth="8.83203125" defaultRowHeight="12.75" customHeight="1" x14ac:dyDescent="0.15"/>
  <cols>
    <col min="2" max="2" width="19.1640625" bestFit="1" customWidth="1"/>
    <col min="3" max="3" width="12.1640625" bestFit="1" customWidth="1"/>
    <col min="4" max="4" width="13.5" bestFit="1" customWidth="1"/>
    <col min="5" max="5" width="12.1640625" bestFit="1" customWidth="1"/>
    <col min="6" max="6" width="12.1640625" customWidth="1"/>
    <col min="7" max="7" width="12.83203125" bestFit="1" customWidth="1"/>
    <col min="8" max="10" width="12.1640625" bestFit="1" customWidth="1"/>
  </cols>
  <sheetData>
    <row r="3" spans="2:32" ht="13" customHeight="1" x14ac:dyDescent="0.15">
      <c r="B3" s="184" t="s">
        <v>11</v>
      </c>
      <c r="C3" s="185"/>
      <c r="D3" s="185"/>
      <c r="E3" s="185"/>
      <c r="F3" s="185"/>
      <c r="G3" s="185"/>
      <c r="H3" s="185"/>
      <c r="I3" s="185"/>
      <c r="J3" s="186"/>
    </row>
    <row r="4" spans="2:32" ht="15" customHeight="1" x14ac:dyDescent="0.15">
      <c r="B4" s="187"/>
      <c r="C4" s="188"/>
      <c r="D4" s="188"/>
      <c r="E4" s="188"/>
      <c r="F4" s="188"/>
      <c r="G4" s="188"/>
      <c r="H4" s="188"/>
      <c r="I4" s="188"/>
      <c r="J4" s="189"/>
    </row>
    <row r="5" spans="2:32" ht="12.75" customHeight="1" x14ac:dyDescent="0.15">
      <c r="B5" s="86" t="s">
        <v>12</v>
      </c>
      <c r="C5" s="87"/>
      <c r="D5" s="87"/>
      <c r="E5" s="87"/>
      <c r="F5" s="87"/>
      <c r="G5" s="87"/>
      <c r="H5" s="87"/>
      <c r="I5" s="87"/>
      <c r="J5" s="88"/>
      <c r="W5" s="240" t="s">
        <v>13</v>
      </c>
      <c r="X5" s="240"/>
      <c r="Y5" s="240"/>
      <c r="Z5" s="240"/>
      <c r="AA5" s="240"/>
      <c r="AB5" s="240"/>
      <c r="AC5" s="240"/>
      <c r="AD5" s="240"/>
      <c r="AE5" s="240"/>
      <c r="AF5" s="240"/>
    </row>
    <row r="6" spans="2:32" ht="12.75" customHeight="1" x14ac:dyDescent="0.15">
      <c r="B6" s="21"/>
      <c r="C6" s="29"/>
      <c r="D6" s="29"/>
      <c r="E6" s="29"/>
      <c r="F6" s="29"/>
      <c r="G6" s="29"/>
      <c r="H6" s="29"/>
      <c r="I6" s="29"/>
      <c r="J6" s="22"/>
      <c r="W6" s="241"/>
      <c r="X6" s="241"/>
      <c r="Y6" s="241"/>
      <c r="Z6" s="241"/>
      <c r="AA6" s="241"/>
      <c r="AB6" s="241"/>
      <c r="AC6" s="241"/>
      <c r="AD6" s="241"/>
      <c r="AE6" s="241"/>
      <c r="AF6" s="241"/>
    </row>
    <row r="7" spans="2:32" ht="13" customHeight="1" x14ac:dyDescent="0.15">
      <c r="B7" s="208" t="s">
        <v>14</v>
      </c>
      <c r="C7" s="209"/>
      <c r="D7" s="29"/>
      <c r="E7" s="29"/>
      <c r="F7" s="29"/>
      <c r="G7" s="29"/>
      <c r="H7" s="29"/>
      <c r="I7" s="29"/>
      <c r="J7" s="22"/>
      <c r="W7" s="82"/>
      <c r="X7" s="82" t="s">
        <v>2</v>
      </c>
      <c r="Y7" s="82" t="s">
        <v>3</v>
      </c>
      <c r="Z7" s="82" t="s">
        <v>4</v>
      </c>
      <c r="AA7" s="82" t="s">
        <v>5</v>
      </c>
      <c r="AB7" s="82" t="s">
        <v>6</v>
      </c>
      <c r="AC7" s="82" t="s">
        <v>7</v>
      </c>
      <c r="AD7" s="82" t="s">
        <v>8</v>
      </c>
      <c r="AE7" s="82" t="s">
        <v>9</v>
      </c>
      <c r="AF7" s="82" t="s">
        <v>10</v>
      </c>
    </row>
    <row r="8" spans="2:32" ht="13" customHeight="1" x14ac:dyDescent="0.15">
      <c r="B8" s="21" t="s">
        <v>15</v>
      </c>
      <c r="C8" s="29">
        <v>0.51738055946582218</v>
      </c>
      <c r="D8" s="29"/>
      <c r="E8" s="29"/>
      <c r="F8" s="29"/>
      <c r="G8" s="29"/>
      <c r="H8" s="29"/>
      <c r="I8" s="29"/>
      <c r="J8" s="22"/>
      <c r="W8" s="82" t="s">
        <v>2</v>
      </c>
      <c r="X8" s="81">
        <v>1</v>
      </c>
      <c r="Y8" s="81"/>
      <c r="Z8" s="81"/>
      <c r="AA8" s="81"/>
      <c r="AB8" s="81"/>
      <c r="AC8" s="81"/>
      <c r="AD8" s="81"/>
      <c r="AE8" s="81"/>
      <c r="AF8" s="81"/>
    </row>
    <row r="9" spans="2:32" ht="13" customHeight="1" x14ac:dyDescent="0.15">
      <c r="B9" s="21" t="s">
        <v>16</v>
      </c>
      <c r="C9" s="105">
        <v>0.26768264331316716</v>
      </c>
      <c r="D9" s="29"/>
      <c r="E9" s="29"/>
      <c r="F9" s="29"/>
      <c r="G9" s="29"/>
      <c r="H9" s="29"/>
      <c r="I9" s="29"/>
      <c r="J9" s="22"/>
      <c r="W9" s="82" t="s">
        <v>3</v>
      </c>
      <c r="X9" s="81">
        <v>0.51738055946582096</v>
      </c>
      <c r="Y9" s="81">
        <v>1</v>
      </c>
      <c r="Z9" s="81"/>
      <c r="AA9" s="81"/>
      <c r="AB9" s="81"/>
      <c r="AC9" s="81"/>
      <c r="AD9" s="81"/>
      <c r="AE9" s="81"/>
      <c r="AF9" s="81"/>
    </row>
    <row r="10" spans="2:32" ht="13" customHeight="1" x14ac:dyDescent="0.15">
      <c r="B10" s="21" t="s">
        <v>17</v>
      </c>
      <c r="C10" s="29">
        <v>0.2524260317155248</v>
      </c>
      <c r="D10" s="29"/>
      <c r="E10" s="29"/>
      <c r="F10" s="29"/>
      <c r="G10" s="29"/>
      <c r="H10" s="29"/>
      <c r="I10" s="29"/>
      <c r="J10" s="22"/>
      <c r="W10" s="82" t="s">
        <v>4</v>
      </c>
      <c r="X10" s="81">
        <v>0.61171665947949205</v>
      </c>
      <c r="Y10" s="81">
        <v>0.26524004718866301</v>
      </c>
      <c r="Z10" s="81">
        <v>1</v>
      </c>
      <c r="AA10" s="81"/>
      <c r="AB10" s="81"/>
      <c r="AC10" s="81"/>
      <c r="AD10" s="81"/>
      <c r="AE10" s="81"/>
      <c r="AF10" s="81"/>
    </row>
    <row r="11" spans="2:32" ht="13" customHeight="1" x14ac:dyDescent="0.15">
      <c r="B11" s="21" t="s">
        <v>18</v>
      </c>
      <c r="C11" s="29">
        <v>7.8519085503419577</v>
      </c>
      <c r="D11" s="29"/>
      <c r="E11" s="29"/>
      <c r="F11" s="29"/>
      <c r="G11" s="29"/>
      <c r="H11" s="29"/>
      <c r="I11" s="29"/>
      <c r="J11" s="22"/>
      <c r="W11" s="82" t="s">
        <v>5</v>
      </c>
      <c r="X11" s="81">
        <v>-0.26640428304153901</v>
      </c>
      <c r="Y11" s="81">
        <v>-0.27630581647114699</v>
      </c>
      <c r="Z11" s="81">
        <v>0.10897927458701299</v>
      </c>
      <c r="AA11" s="81">
        <v>1</v>
      </c>
      <c r="AB11" s="81"/>
      <c r="AC11" s="81"/>
      <c r="AD11" s="81"/>
      <c r="AE11" s="81"/>
      <c r="AF11" s="81"/>
    </row>
    <row r="12" spans="2:32" ht="13" customHeight="1" x14ac:dyDescent="0.15">
      <c r="B12" s="25" t="s">
        <v>19</v>
      </c>
      <c r="C12" s="26">
        <v>50</v>
      </c>
      <c r="D12" s="29"/>
      <c r="E12" s="29"/>
      <c r="F12" s="29"/>
      <c r="G12" s="29"/>
      <c r="H12" s="29"/>
      <c r="I12" s="29"/>
      <c r="J12" s="22"/>
      <c r="W12" s="82" t="s">
        <v>6</v>
      </c>
      <c r="X12" s="81">
        <v>0.47922723835606101</v>
      </c>
      <c r="Y12" s="81">
        <v>0.176074798649936</v>
      </c>
      <c r="Z12" s="81">
        <v>0.88215753530659102</v>
      </c>
      <c r="AA12" s="81">
        <v>0.200785952212161</v>
      </c>
      <c r="AB12" s="81">
        <v>1</v>
      </c>
      <c r="AC12" s="81"/>
      <c r="AD12" s="81"/>
      <c r="AE12" s="81"/>
      <c r="AF12" s="81"/>
    </row>
    <row r="13" spans="2:32" ht="13" customHeight="1" x14ac:dyDescent="0.15">
      <c r="B13" s="21"/>
      <c r="C13" s="29"/>
      <c r="D13" s="29"/>
      <c r="E13" s="29"/>
      <c r="F13" s="29"/>
      <c r="G13" s="29"/>
      <c r="H13" s="29"/>
      <c r="I13" s="29"/>
      <c r="J13" s="22"/>
      <c r="W13" s="82" t="s">
        <v>7</v>
      </c>
      <c r="X13" s="81">
        <v>0.72252239261735196</v>
      </c>
      <c r="Y13" s="81">
        <v>0.37594617313790102</v>
      </c>
      <c r="Z13" s="81">
        <v>0.91233451213921701</v>
      </c>
      <c r="AA13" s="81">
        <v>1.3555596101937699E-2</v>
      </c>
      <c r="AB13" s="81">
        <v>0.82039364345940102</v>
      </c>
      <c r="AC13" s="81">
        <v>1</v>
      </c>
      <c r="AD13" s="81"/>
      <c r="AE13" s="81"/>
      <c r="AF13" s="81"/>
    </row>
    <row r="14" spans="2:32" ht="13" customHeight="1" x14ac:dyDescent="0.15">
      <c r="B14" s="21" t="s">
        <v>20</v>
      </c>
      <c r="C14" s="29"/>
      <c r="D14" s="29"/>
      <c r="E14" s="29"/>
      <c r="F14" s="29"/>
      <c r="G14" s="29"/>
      <c r="H14" s="29"/>
      <c r="I14" s="29"/>
      <c r="J14" s="22"/>
      <c r="W14" s="82" t="s">
        <v>8</v>
      </c>
      <c r="X14" s="81">
        <v>0.82369612135118897</v>
      </c>
      <c r="Y14" s="81">
        <v>0.44230421028481798</v>
      </c>
      <c r="Z14" s="81">
        <v>0.91459241550644399</v>
      </c>
      <c r="AA14" s="81">
        <v>-5.2483235247786003E-2</v>
      </c>
      <c r="AB14" s="81">
        <v>0.78121607764664602</v>
      </c>
      <c r="AC14" s="81">
        <v>0.94208906921786295</v>
      </c>
      <c r="AD14" s="81">
        <v>1</v>
      </c>
      <c r="AE14" s="81"/>
      <c r="AF14" s="81"/>
    </row>
    <row r="15" spans="2:32" ht="13" x14ac:dyDescent="0.15">
      <c r="B15" s="23"/>
      <c r="C15" s="24" t="s">
        <v>21</v>
      </c>
      <c r="D15" s="24" t="s">
        <v>22</v>
      </c>
      <c r="E15" s="24" t="s">
        <v>23</v>
      </c>
      <c r="F15" s="24" t="s">
        <v>24</v>
      </c>
      <c r="G15" s="24" t="s">
        <v>25</v>
      </c>
      <c r="H15" s="29"/>
      <c r="I15" s="29"/>
      <c r="J15" s="22"/>
      <c r="W15" s="82" t="s">
        <v>9</v>
      </c>
      <c r="X15" s="81">
        <v>0.69262228519011904</v>
      </c>
      <c r="Y15" s="81">
        <v>0.31379758906180399</v>
      </c>
      <c r="Z15" s="81">
        <v>0.95947495407074601</v>
      </c>
      <c r="AA15" s="81">
        <v>-4.5439569452011899E-2</v>
      </c>
      <c r="AB15" s="81">
        <v>0.80379723263360603</v>
      </c>
      <c r="AC15" s="81">
        <v>0.91131874621501496</v>
      </c>
      <c r="AD15" s="81">
        <v>0.94202147079184995</v>
      </c>
      <c r="AE15" s="81">
        <v>1</v>
      </c>
      <c r="AF15" s="81"/>
    </row>
    <row r="16" spans="2:32" ht="13" x14ac:dyDescent="0.15">
      <c r="B16" s="21" t="s">
        <v>26</v>
      </c>
      <c r="C16" s="29">
        <v>1</v>
      </c>
      <c r="D16" s="29">
        <v>1081.7143416192093</v>
      </c>
      <c r="E16" s="29">
        <v>1081.7143416192093</v>
      </c>
      <c r="F16" s="105">
        <v>17.545353475114553</v>
      </c>
      <c r="G16" s="105">
        <v>1.1934103548803567E-4</v>
      </c>
      <c r="H16" s="29"/>
      <c r="I16" s="29"/>
      <c r="J16" s="22"/>
      <c r="W16" s="82" t="s">
        <v>10</v>
      </c>
      <c r="X16" s="81">
        <v>0.68222402772230095</v>
      </c>
      <c r="Y16" s="81">
        <v>0.218528414823007</v>
      </c>
      <c r="Z16" s="81">
        <v>0.93720086803121405</v>
      </c>
      <c r="AA16" s="81">
        <v>-3.6565148234552598E-2</v>
      </c>
      <c r="AB16" s="81">
        <v>0.82272056553303696</v>
      </c>
      <c r="AC16" s="81">
        <v>0.85912205778018202</v>
      </c>
      <c r="AD16" s="81">
        <v>0.89029975451398102</v>
      </c>
      <c r="AE16" s="81">
        <v>0.93772747690140101</v>
      </c>
      <c r="AF16" s="81">
        <v>1</v>
      </c>
    </row>
    <row r="17" spans="2:10" ht="13" x14ac:dyDescent="0.15">
      <c r="B17" s="21" t="s">
        <v>27</v>
      </c>
      <c r="C17" s="29">
        <v>48</v>
      </c>
      <c r="D17" s="29">
        <v>2959.3184583807911</v>
      </c>
      <c r="E17" s="29">
        <v>61.652467882933145</v>
      </c>
      <c r="F17" s="29"/>
      <c r="G17" s="29"/>
      <c r="H17" s="29"/>
      <c r="I17" s="29"/>
      <c r="J17" s="22"/>
    </row>
    <row r="18" spans="2:10" ht="13" x14ac:dyDescent="0.15">
      <c r="B18" s="25" t="s">
        <v>28</v>
      </c>
      <c r="C18" s="26">
        <v>49</v>
      </c>
      <c r="D18" s="26">
        <v>4041.0328000000004</v>
      </c>
      <c r="E18" s="26"/>
      <c r="F18" s="26"/>
      <c r="G18" s="26"/>
      <c r="H18" s="29"/>
      <c r="I18" s="29"/>
      <c r="J18" s="22"/>
    </row>
    <row r="19" spans="2:10" ht="13" x14ac:dyDescent="0.15">
      <c r="B19" s="21"/>
      <c r="C19" s="29"/>
      <c r="D19" s="29"/>
      <c r="E19" s="29"/>
      <c r="F19" s="29"/>
      <c r="G19" s="29"/>
      <c r="H19" s="29"/>
      <c r="I19" s="29"/>
      <c r="J19" s="22"/>
    </row>
    <row r="20" spans="2:10" ht="13" x14ac:dyDescent="0.15">
      <c r="B20" s="23"/>
      <c r="C20" s="24" t="s">
        <v>29</v>
      </c>
      <c r="D20" s="24" t="s">
        <v>18</v>
      </c>
      <c r="E20" s="24" t="s">
        <v>30</v>
      </c>
      <c r="F20" s="24" t="s">
        <v>31</v>
      </c>
      <c r="G20" s="24" t="s">
        <v>32</v>
      </c>
      <c r="H20" s="24" t="s">
        <v>33</v>
      </c>
      <c r="I20" s="24" t="s">
        <v>34</v>
      </c>
      <c r="J20" s="27" t="s">
        <v>35</v>
      </c>
    </row>
    <row r="21" spans="2:10" ht="13" x14ac:dyDescent="0.15">
      <c r="B21" s="21" t="s">
        <v>36</v>
      </c>
      <c r="C21" s="29">
        <v>-1.0346737125710206</v>
      </c>
      <c r="D21" s="29">
        <v>4.6288263704872126</v>
      </c>
      <c r="E21" s="29">
        <v>-0.22352830496472365</v>
      </c>
      <c r="F21" s="29">
        <v>0.82407297910454425</v>
      </c>
      <c r="G21" s="29">
        <v>-10.341552900080227</v>
      </c>
      <c r="H21" s="29">
        <v>8.2722054749381861</v>
      </c>
      <c r="I21" s="29">
        <v>-10.341552900080227</v>
      </c>
      <c r="J21" s="22">
        <v>8.2722054749381861</v>
      </c>
    </row>
    <row r="22" spans="2:10" ht="13" x14ac:dyDescent="0.15">
      <c r="B22" s="25" t="s">
        <v>3</v>
      </c>
      <c r="C22" s="26">
        <v>0.5592000508785212</v>
      </c>
      <c r="D22" s="26">
        <v>0.13350149871434419</v>
      </c>
      <c r="E22" s="26">
        <v>4.1887174021548077</v>
      </c>
      <c r="F22" s="26">
        <v>1.1934103548803713E-4</v>
      </c>
      <c r="G22" s="26">
        <v>0.29077729736853414</v>
      </c>
      <c r="H22" s="26">
        <v>0.82762280438850833</v>
      </c>
      <c r="I22" s="26">
        <v>0.29077729736853414</v>
      </c>
      <c r="J22" s="28">
        <v>0.82762280438850833</v>
      </c>
    </row>
    <row r="24" spans="2:10" ht="13" x14ac:dyDescent="0.15">
      <c r="B24" s="190" t="s">
        <v>37</v>
      </c>
      <c r="C24" s="191"/>
      <c r="D24" s="191"/>
      <c r="E24" s="191"/>
      <c r="F24" s="191"/>
      <c r="G24" s="191"/>
      <c r="H24" s="191"/>
      <c r="I24" s="191"/>
      <c r="J24" s="192"/>
    </row>
    <row r="25" spans="2:10" ht="13" x14ac:dyDescent="0.15">
      <c r="B25" s="193"/>
      <c r="C25" s="194"/>
      <c r="D25" s="194"/>
      <c r="E25" s="194"/>
      <c r="F25" s="194"/>
      <c r="G25" s="194"/>
      <c r="H25" s="194"/>
      <c r="I25" s="194"/>
      <c r="J25" s="195"/>
    </row>
    <row r="26" spans="2:10" ht="13" x14ac:dyDescent="0.15">
      <c r="B26" s="30" t="s">
        <v>12</v>
      </c>
      <c r="C26" s="89"/>
      <c r="D26" s="89"/>
      <c r="E26" s="89"/>
      <c r="F26" s="89"/>
      <c r="G26" s="89"/>
      <c r="H26" s="89"/>
      <c r="I26" s="89"/>
      <c r="J26" s="31"/>
    </row>
    <row r="27" spans="2:10" ht="13" x14ac:dyDescent="0.15">
      <c r="B27" s="30"/>
      <c r="C27" s="89"/>
      <c r="D27" s="89"/>
      <c r="E27" s="89"/>
      <c r="F27" s="89"/>
      <c r="G27" s="89"/>
      <c r="H27" s="89"/>
      <c r="I27" s="89"/>
      <c r="J27" s="31"/>
    </row>
    <row r="28" spans="2:10" ht="13" customHeight="1" x14ac:dyDescent="0.15">
      <c r="B28" s="210" t="s">
        <v>14</v>
      </c>
      <c r="C28" s="211"/>
      <c r="D28" s="89"/>
      <c r="E28" s="89"/>
      <c r="F28" s="89"/>
      <c r="G28" s="89"/>
      <c r="H28" s="89"/>
      <c r="I28" s="89"/>
      <c r="J28" s="31"/>
    </row>
    <row r="29" spans="2:10" ht="13" x14ac:dyDescent="0.15">
      <c r="B29" s="30" t="s">
        <v>15</v>
      </c>
      <c r="C29" s="89">
        <v>0.61171665947949294</v>
      </c>
      <c r="D29" s="89"/>
      <c r="E29" s="89"/>
      <c r="F29" s="89"/>
      <c r="G29" s="89"/>
      <c r="H29" s="89"/>
      <c r="I29" s="89"/>
      <c r="J29" s="31"/>
    </row>
    <row r="30" spans="2:10" ht="13" x14ac:dyDescent="0.15">
      <c r="B30" s="30" t="s">
        <v>16</v>
      </c>
      <c r="C30" s="105">
        <v>0.37419727148474996</v>
      </c>
      <c r="D30" s="89"/>
      <c r="E30" s="89"/>
      <c r="F30" s="89"/>
      <c r="G30" s="89"/>
      <c r="H30" s="89"/>
      <c r="I30" s="89"/>
      <c r="J30" s="31"/>
    </row>
    <row r="31" spans="2:10" ht="13" x14ac:dyDescent="0.15">
      <c r="B31" s="30" t="s">
        <v>17</v>
      </c>
      <c r="C31" s="89">
        <v>0.36115971464068225</v>
      </c>
      <c r="D31" s="89"/>
      <c r="E31" s="89"/>
      <c r="F31" s="89"/>
      <c r="G31" s="89"/>
      <c r="H31" s="89"/>
      <c r="I31" s="89"/>
      <c r="J31" s="31"/>
    </row>
    <row r="32" spans="2:10" ht="13" x14ac:dyDescent="0.15">
      <c r="B32" s="30" t="s">
        <v>18</v>
      </c>
      <c r="C32" s="89">
        <v>7.2584567808000413</v>
      </c>
      <c r="D32" s="89"/>
      <c r="E32" s="89"/>
      <c r="F32" s="89"/>
      <c r="G32" s="89"/>
      <c r="H32" s="89"/>
      <c r="I32" s="89"/>
      <c r="J32" s="31"/>
    </row>
    <row r="33" spans="2:10" ht="13" x14ac:dyDescent="0.15">
      <c r="B33" s="32" t="s">
        <v>19</v>
      </c>
      <c r="C33" s="33">
        <v>50</v>
      </c>
      <c r="D33" s="89"/>
      <c r="E33" s="89"/>
      <c r="F33" s="89"/>
      <c r="G33" s="89"/>
      <c r="H33" s="89"/>
      <c r="I33" s="89"/>
      <c r="J33" s="31"/>
    </row>
    <row r="34" spans="2:10" ht="13" x14ac:dyDescent="0.15">
      <c r="B34" s="30"/>
      <c r="C34" s="89"/>
      <c r="D34" s="89"/>
      <c r="E34" s="89"/>
      <c r="F34" s="89"/>
      <c r="G34" s="89"/>
      <c r="H34" s="89"/>
      <c r="I34" s="89"/>
      <c r="J34" s="31"/>
    </row>
    <row r="35" spans="2:10" ht="13" x14ac:dyDescent="0.15">
      <c r="B35" s="30" t="s">
        <v>20</v>
      </c>
      <c r="C35" s="89"/>
      <c r="D35" s="89"/>
      <c r="E35" s="89"/>
      <c r="F35" s="89"/>
      <c r="G35" s="89"/>
      <c r="H35" s="89"/>
      <c r="I35" s="89"/>
      <c r="J35" s="31"/>
    </row>
    <row r="36" spans="2:10" ht="13" x14ac:dyDescent="0.15">
      <c r="B36" s="34"/>
      <c r="C36" s="35" t="s">
        <v>21</v>
      </c>
      <c r="D36" s="35" t="s">
        <v>22</v>
      </c>
      <c r="E36" s="35" t="s">
        <v>23</v>
      </c>
      <c r="F36" s="35" t="s">
        <v>24</v>
      </c>
      <c r="G36" s="35" t="s">
        <v>25</v>
      </c>
      <c r="H36" s="89"/>
      <c r="I36" s="89"/>
      <c r="J36" s="31"/>
    </row>
    <row r="37" spans="2:10" ht="13" x14ac:dyDescent="0.15">
      <c r="B37" s="30" t="s">
        <v>26</v>
      </c>
      <c r="C37" s="89">
        <v>1</v>
      </c>
      <c r="D37" s="89">
        <v>1512.1434477403795</v>
      </c>
      <c r="E37" s="89">
        <v>1512.1434477403795</v>
      </c>
      <c r="F37" s="105">
        <v>28.701487246440315</v>
      </c>
      <c r="G37" s="105">
        <v>2.3631579862298779E-6</v>
      </c>
      <c r="H37" s="89"/>
      <c r="I37" s="89"/>
      <c r="J37" s="31"/>
    </row>
    <row r="38" spans="2:10" ht="13" x14ac:dyDescent="0.15">
      <c r="B38" s="30" t="s">
        <v>27</v>
      </c>
      <c r="C38" s="89">
        <v>48</v>
      </c>
      <c r="D38" s="89">
        <v>2528.8893522596209</v>
      </c>
      <c r="E38" s="89">
        <v>52.685194838742099</v>
      </c>
      <c r="F38" s="89"/>
      <c r="G38" s="89"/>
      <c r="H38" s="89"/>
      <c r="I38" s="89"/>
      <c r="J38" s="31"/>
    </row>
    <row r="39" spans="2:10" ht="13" x14ac:dyDescent="0.15">
      <c r="B39" s="32" t="s">
        <v>28</v>
      </c>
      <c r="C39" s="33">
        <v>49</v>
      </c>
      <c r="D39" s="33">
        <v>4041.0328000000004</v>
      </c>
      <c r="E39" s="33"/>
      <c r="F39" s="33"/>
      <c r="G39" s="33"/>
      <c r="H39" s="89"/>
      <c r="I39" s="89"/>
      <c r="J39" s="31"/>
    </row>
    <row r="40" spans="2:10" ht="13" x14ac:dyDescent="0.15">
      <c r="B40" s="30"/>
      <c r="C40" s="89"/>
      <c r="D40" s="89"/>
      <c r="E40" s="89"/>
      <c r="F40" s="89"/>
      <c r="G40" s="89"/>
      <c r="H40" s="89"/>
      <c r="I40" s="89"/>
      <c r="J40" s="31"/>
    </row>
    <row r="41" spans="2:10" ht="13" x14ac:dyDescent="0.15">
      <c r="B41" s="34"/>
      <c r="C41" s="35" t="s">
        <v>29</v>
      </c>
      <c r="D41" s="35" t="s">
        <v>18</v>
      </c>
      <c r="E41" s="35" t="s">
        <v>30</v>
      </c>
      <c r="F41" s="35" t="s">
        <v>31</v>
      </c>
      <c r="G41" s="35" t="s">
        <v>32</v>
      </c>
      <c r="H41" s="35" t="s">
        <v>33</v>
      </c>
      <c r="I41" s="35" t="s">
        <v>34</v>
      </c>
      <c r="J41" s="36" t="s">
        <v>35</v>
      </c>
    </row>
    <row r="42" spans="2:10" ht="13" x14ac:dyDescent="0.15">
      <c r="B42" s="30" t="s">
        <v>36</v>
      </c>
      <c r="C42" s="89">
        <v>-7.4998302627838846</v>
      </c>
      <c r="D42" s="89">
        <v>4.8305161103679355</v>
      </c>
      <c r="E42" s="89">
        <v>-1.5525939861139662</v>
      </c>
      <c r="F42" s="89">
        <v>0.12708938393627264</v>
      </c>
      <c r="G42" s="89">
        <v>-17.212233851553464</v>
      </c>
      <c r="H42" s="89">
        <v>2.2125733259856943</v>
      </c>
      <c r="I42" s="89">
        <v>-17.212233851553464</v>
      </c>
      <c r="J42" s="31">
        <v>2.2125733259856943</v>
      </c>
    </row>
    <row r="43" spans="2:10" ht="13" x14ac:dyDescent="0.15">
      <c r="B43" s="32" t="s">
        <v>4</v>
      </c>
      <c r="C43" s="33">
        <v>0.13799032109257925</v>
      </c>
      <c r="D43" s="33">
        <v>2.5757067996821311E-2</v>
      </c>
      <c r="E43" s="33">
        <v>5.3573768997934348</v>
      </c>
      <c r="F43" s="33">
        <v>2.363157986229891E-6</v>
      </c>
      <c r="G43" s="33">
        <v>8.6202264923679592E-2</v>
      </c>
      <c r="H43" s="33">
        <v>0.18977837726147892</v>
      </c>
      <c r="I43" s="33">
        <v>8.6202264923679592E-2</v>
      </c>
      <c r="J43" s="37">
        <v>0.18977837726147892</v>
      </c>
    </row>
    <row r="47" spans="2:10" ht="13" x14ac:dyDescent="0.15">
      <c r="B47" s="228" t="s">
        <v>38</v>
      </c>
      <c r="C47" s="229"/>
      <c r="D47" s="229"/>
      <c r="E47" s="229"/>
      <c r="F47" s="229"/>
      <c r="G47" s="229"/>
      <c r="H47" s="229"/>
      <c r="I47" s="229"/>
      <c r="J47" s="230"/>
    </row>
    <row r="48" spans="2:10" ht="13" x14ac:dyDescent="0.15">
      <c r="B48" s="231"/>
      <c r="C48" s="232"/>
      <c r="D48" s="232"/>
      <c r="E48" s="232"/>
      <c r="F48" s="232"/>
      <c r="G48" s="232"/>
      <c r="H48" s="232"/>
      <c r="I48" s="232"/>
      <c r="J48" s="233"/>
    </row>
    <row r="49" spans="2:10" ht="13" x14ac:dyDescent="0.15">
      <c r="B49" s="38" t="s">
        <v>12</v>
      </c>
      <c r="C49" s="90"/>
      <c r="D49" s="90"/>
      <c r="E49" s="90"/>
      <c r="F49" s="90"/>
      <c r="G49" s="90"/>
      <c r="H49" s="90"/>
      <c r="I49" s="90"/>
      <c r="J49" s="39"/>
    </row>
    <row r="50" spans="2:10" ht="13" x14ac:dyDescent="0.15">
      <c r="B50" s="38"/>
      <c r="C50" s="90"/>
      <c r="D50" s="90"/>
      <c r="E50" s="90"/>
      <c r="F50" s="90"/>
      <c r="G50" s="90"/>
      <c r="H50" s="90"/>
      <c r="I50" s="90"/>
      <c r="J50" s="39"/>
    </row>
    <row r="51" spans="2:10" ht="13" x14ac:dyDescent="0.15">
      <c r="B51" s="212" t="s">
        <v>14</v>
      </c>
      <c r="C51" s="213"/>
      <c r="D51" s="90"/>
      <c r="E51" s="90"/>
      <c r="F51" s="90"/>
      <c r="G51" s="90"/>
      <c r="H51" s="90"/>
      <c r="I51" s="90"/>
      <c r="J51" s="39"/>
    </row>
    <row r="52" spans="2:10" ht="13" x14ac:dyDescent="0.15">
      <c r="B52" s="38" t="s">
        <v>15</v>
      </c>
      <c r="C52" s="90">
        <v>0.26640428304153985</v>
      </c>
      <c r="D52" s="90"/>
      <c r="E52" s="90"/>
      <c r="F52" s="90"/>
      <c r="G52" s="90"/>
      <c r="H52" s="90"/>
      <c r="I52" s="90"/>
      <c r="J52" s="39"/>
    </row>
    <row r="53" spans="2:10" ht="13" x14ac:dyDescent="0.15">
      <c r="B53" s="38" t="s">
        <v>16</v>
      </c>
      <c r="C53" s="105">
        <v>7.0971242022876871E-2</v>
      </c>
      <c r="D53" s="90"/>
      <c r="E53" s="90"/>
      <c r="F53" s="90"/>
      <c r="G53" s="90"/>
      <c r="H53" s="90"/>
      <c r="I53" s="90"/>
      <c r="J53" s="39"/>
    </row>
    <row r="54" spans="2:10" ht="13" x14ac:dyDescent="0.15">
      <c r="B54" s="38" t="s">
        <v>17</v>
      </c>
      <c r="C54" s="90">
        <v>5.1616476231686803E-2</v>
      </c>
      <c r="D54" s="90"/>
      <c r="E54" s="90"/>
      <c r="F54" s="90"/>
      <c r="G54" s="90"/>
      <c r="H54" s="90"/>
      <c r="I54" s="90"/>
      <c r="J54" s="39"/>
    </row>
    <row r="55" spans="2:10" ht="13" x14ac:dyDescent="0.15">
      <c r="B55" s="38" t="s">
        <v>18</v>
      </c>
      <c r="C55" s="90">
        <v>8.8438251564872647</v>
      </c>
      <c r="D55" s="90"/>
      <c r="E55" s="90"/>
      <c r="F55" s="90"/>
      <c r="G55" s="90"/>
      <c r="H55" s="90"/>
      <c r="I55" s="90"/>
      <c r="J55" s="39"/>
    </row>
    <row r="56" spans="2:10" ht="13" x14ac:dyDescent="0.15">
      <c r="B56" s="42" t="s">
        <v>19</v>
      </c>
      <c r="C56" s="43">
        <v>50</v>
      </c>
      <c r="D56" s="90"/>
      <c r="E56" s="90"/>
      <c r="F56" s="90"/>
      <c r="G56" s="90"/>
      <c r="H56" s="90"/>
      <c r="I56" s="90"/>
      <c r="J56" s="39"/>
    </row>
    <row r="57" spans="2:10" ht="13" x14ac:dyDescent="0.15">
      <c r="B57" s="38"/>
      <c r="C57" s="90"/>
      <c r="D57" s="90"/>
      <c r="E57" s="90"/>
      <c r="F57" s="90"/>
      <c r="G57" s="90"/>
      <c r="H57" s="90"/>
      <c r="I57" s="90"/>
      <c r="J57" s="39"/>
    </row>
    <row r="58" spans="2:10" ht="13" x14ac:dyDescent="0.15">
      <c r="B58" s="38" t="s">
        <v>20</v>
      </c>
      <c r="C58" s="90"/>
      <c r="D58" s="90"/>
      <c r="E58" s="90"/>
      <c r="F58" s="90"/>
      <c r="G58" s="90"/>
      <c r="H58" s="90"/>
      <c r="I58" s="90"/>
      <c r="J58" s="39"/>
    </row>
    <row r="59" spans="2:10" ht="13" x14ac:dyDescent="0.15">
      <c r="B59" s="40"/>
      <c r="C59" s="41" t="s">
        <v>21</v>
      </c>
      <c r="D59" s="41" t="s">
        <v>22</v>
      </c>
      <c r="E59" s="41" t="s">
        <v>23</v>
      </c>
      <c r="F59" s="41" t="s">
        <v>24</v>
      </c>
      <c r="G59" s="41" t="s">
        <v>25</v>
      </c>
      <c r="H59" s="90"/>
      <c r="I59" s="90"/>
      <c r="J59" s="39"/>
    </row>
    <row r="60" spans="2:10" ht="13" x14ac:dyDescent="0.15">
      <c r="B60" s="38" t="s">
        <v>26</v>
      </c>
      <c r="C60" s="90">
        <v>1</v>
      </c>
      <c r="D60" s="90">
        <v>286.79711687118379</v>
      </c>
      <c r="E60" s="90">
        <v>286.79711687118379</v>
      </c>
      <c r="F60" s="105">
        <v>3.6668613192509762</v>
      </c>
      <c r="G60" s="105">
        <v>6.147417659769043E-2</v>
      </c>
      <c r="H60" s="90"/>
      <c r="I60" s="90"/>
      <c r="J60" s="39"/>
    </row>
    <row r="61" spans="2:10" ht="13" x14ac:dyDescent="0.15">
      <c r="B61" s="38" t="s">
        <v>27</v>
      </c>
      <c r="C61" s="90">
        <v>48</v>
      </c>
      <c r="D61" s="90">
        <v>3754.2356831288166</v>
      </c>
      <c r="E61" s="90">
        <v>78.213243398517008</v>
      </c>
      <c r="F61" s="90"/>
      <c r="G61" s="90"/>
      <c r="H61" s="90"/>
      <c r="I61" s="90"/>
      <c r="J61" s="39"/>
    </row>
    <row r="62" spans="2:10" ht="13" x14ac:dyDescent="0.15">
      <c r="B62" s="42" t="s">
        <v>28</v>
      </c>
      <c r="C62" s="43">
        <v>49</v>
      </c>
      <c r="D62" s="43">
        <v>4041.0328000000004</v>
      </c>
      <c r="E62" s="43"/>
      <c r="F62" s="43"/>
      <c r="G62" s="43"/>
      <c r="H62" s="90"/>
      <c r="I62" s="90"/>
      <c r="J62" s="39"/>
    </row>
    <row r="63" spans="2:10" ht="13" x14ac:dyDescent="0.15">
      <c r="B63" s="38"/>
      <c r="C63" s="90"/>
      <c r="D63" s="90"/>
      <c r="E63" s="90"/>
      <c r="F63" s="90"/>
      <c r="G63" s="90"/>
      <c r="H63" s="90"/>
      <c r="I63" s="90"/>
      <c r="J63" s="39"/>
    </row>
    <row r="64" spans="2:10" ht="13" x14ac:dyDescent="0.15">
      <c r="B64" s="40"/>
      <c r="C64" s="41" t="s">
        <v>29</v>
      </c>
      <c r="D64" s="41" t="s">
        <v>18</v>
      </c>
      <c r="E64" s="41" t="s">
        <v>30</v>
      </c>
      <c r="F64" s="41" t="s">
        <v>31</v>
      </c>
      <c r="G64" s="41" t="s">
        <v>32</v>
      </c>
      <c r="H64" s="41" t="s">
        <v>33</v>
      </c>
      <c r="I64" s="41" t="s">
        <v>34</v>
      </c>
      <c r="J64" s="44" t="s">
        <v>35</v>
      </c>
    </row>
    <row r="65" spans="2:10" ht="13" x14ac:dyDescent="0.15">
      <c r="B65" s="38" t="s">
        <v>36</v>
      </c>
      <c r="C65" s="90">
        <v>44.2650347329933</v>
      </c>
      <c r="D65" s="90">
        <v>13.883264538846715</v>
      </c>
      <c r="E65" s="90">
        <v>3.1883736428946849</v>
      </c>
      <c r="F65" s="90">
        <v>2.5192393924706705E-3</v>
      </c>
      <c r="G65" s="90">
        <v>16.350860501896147</v>
      </c>
      <c r="H65" s="90">
        <v>72.179208964090449</v>
      </c>
      <c r="I65" s="90">
        <v>16.350860501896147</v>
      </c>
      <c r="J65" s="39">
        <v>72.179208964090449</v>
      </c>
    </row>
    <row r="66" spans="2:10" ht="13" x14ac:dyDescent="0.15">
      <c r="B66" s="42" t="s">
        <v>5</v>
      </c>
      <c r="C66" s="43">
        <v>-0.38189866916188231</v>
      </c>
      <c r="D66" s="43">
        <v>0.19943478178720245</v>
      </c>
      <c r="E66" s="43">
        <v>-1.914905041836531</v>
      </c>
      <c r="F66" s="43">
        <v>6.1474176597690645E-2</v>
      </c>
      <c r="G66" s="43">
        <v>-0.78288917330243557</v>
      </c>
      <c r="H66" s="43">
        <v>1.9091834978670959E-2</v>
      </c>
      <c r="I66" s="43">
        <v>-0.78288917330243557</v>
      </c>
      <c r="J66" s="45">
        <v>1.9091834978670959E-2</v>
      </c>
    </row>
    <row r="68" spans="2:10" ht="13" x14ac:dyDescent="0.15">
      <c r="B68" s="196" t="s">
        <v>39</v>
      </c>
      <c r="C68" s="197"/>
      <c r="D68" s="197"/>
      <c r="E68" s="197"/>
      <c r="F68" s="197"/>
      <c r="G68" s="197"/>
      <c r="H68" s="197"/>
      <c r="I68" s="197"/>
      <c r="J68" s="198"/>
    </row>
    <row r="69" spans="2:10" ht="13" x14ac:dyDescent="0.15">
      <c r="B69" s="199"/>
      <c r="C69" s="200"/>
      <c r="D69" s="200"/>
      <c r="E69" s="200"/>
      <c r="F69" s="200"/>
      <c r="G69" s="200"/>
      <c r="H69" s="200"/>
      <c r="I69" s="200"/>
      <c r="J69" s="201"/>
    </row>
    <row r="70" spans="2:10" ht="13" x14ac:dyDescent="0.15">
      <c r="B70" s="46" t="s">
        <v>12</v>
      </c>
      <c r="C70" s="47"/>
      <c r="D70" s="47"/>
      <c r="E70" s="47"/>
      <c r="F70" s="47"/>
      <c r="G70" s="47"/>
      <c r="H70" s="47"/>
      <c r="I70" s="47"/>
      <c r="J70" s="48"/>
    </row>
    <row r="71" spans="2:10" ht="13" x14ac:dyDescent="0.15">
      <c r="B71" s="46"/>
      <c r="C71" s="47"/>
      <c r="D71" s="47"/>
      <c r="E71" s="47"/>
      <c r="F71" s="47"/>
      <c r="G71" s="47"/>
      <c r="H71" s="47"/>
      <c r="I71" s="47"/>
      <c r="J71" s="48"/>
    </row>
    <row r="72" spans="2:10" ht="13" x14ac:dyDescent="0.15">
      <c r="B72" s="214" t="s">
        <v>14</v>
      </c>
      <c r="C72" s="215"/>
      <c r="D72" s="47"/>
      <c r="E72" s="47"/>
      <c r="F72" s="47"/>
      <c r="G72" s="47"/>
      <c r="H72" s="47"/>
      <c r="I72" s="47"/>
      <c r="J72" s="48"/>
    </row>
    <row r="73" spans="2:10" ht="13" x14ac:dyDescent="0.15">
      <c r="B73" s="46" t="s">
        <v>15</v>
      </c>
      <c r="C73" s="47">
        <v>0.47922723835606129</v>
      </c>
      <c r="D73" s="47"/>
      <c r="E73" s="47"/>
      <c r="F73" s="47"/>
      <c r="G73" s="47"/>
      <c r="H73" s="47"/>
      <c r="I73" s="47"/>
      <c r="J73" s="48"/>
    </row>
    <row r="74" spans="2:10" ht="13" x14ac:dyDescent="0.15">
      <c r="B74" s="46" t="s">
        <v>16</v>
      </c>
      <c r="C74" s="105">
        <v>0.22965874598237718</v>
      </c>
      <c r="D74" s="47"/>
      <c r="E74" s="47"/>
      <c r="F74" s="47"/>
      <c r="G74" s="47"/>
      <c r="H74" s="47"/>
      <c r="I74" s="47"/>
      <c r="J74" s="48"/>
    </row>
    <row r="75" spans="2:10" ht="13" x14ac:dyDescent="0.15">
      <c r="B75" s="46" t="s">
        <v>17</v>
      </c>
      <c r="C75" s="47">
        <v>0.21360996985701006</v>
      </c>
      <c r="D75" s="47"/>
      <c r="E75" s="47"/>
      <c r="F75" s="47"/>
      <c r="G75" s="47"/>
      <c r="H75" s="47"/>
      <c r="I75" s="47"/>
      <c r="J75" s="48"/>
    </row>
    <row r="76" spans="2:10" ht="13" x14ac:dyDescent="0.15">
      <c r="B76" s="46" t="s">
        <v>18</v>
      </c>
      <c r="C76" s="47">
        <v>8.0531751950684356</v>
      </c>
      <c r="D76" s="47"/>
      <c r="E76" s="47"/>
      <c r="F76" s="47"/>
      <c r="G76" s="47"/>
      <c r="H76" s="47"/>
      <c r="I76" s="47"/>
      <c r="J76" s="48"/>
    </row>
    <row r="77" spans="2:10" ht="13" x14ac:dyDescent="0.15">
      <c r="B77" s="51" t="s">
        <v>19</v>
      </c>
      <c r="C77" s="52">
        <v>50</v>
      </c>
      <c r="D77" s="47"/>
      <c r="E77" s="47"/>
      <c r="F77" s="47"/>
      <c r="G77" s="47"/>
      <c r="H77" s="47"/>
      <c r="I77" s="47"/>
      <c r="J77" s="48"/>
    </row>
    <row r="78" spans="2:10" ht="13" x14ac:dyDescent="0.15">
      <c r="B78" s="46"/>
      <c r="C78" s="47"/>
      <c r="D78" s="47"/>
      <c r="E78" s="47"/>
      <c r="F78" s="47"/>
      <c r="G78" s="47"/>
      <c r="H78" s="47"/>
      <c r="I78" s="47"/>
      <c r="J78" s="48"/>
    </row>
    <row r="79" spans="2:10" ht="13" x14ac:dyDescent="0.15">
      <c r="B79" s="46" t="s">
        <v>20</v>
      </c>
      <c r="C79" s="47"/>
      <c r="D79" s="47"/>
      <c r="E79" s="47"/>
      <c r="F79" s="47"/>
      <c r="G79" s="47"/>
      <c r="H79" s="47"/>
      <c r="I79" s="47"/>
      <c r="J79" s="48"/>
    </row>
    <row r="80" spans="2:10" ht="13" x14ac:dyDescent="0.15">
      <c r="B80" s="49"/>
      <c r="C80" s="50" t="s">
        <v>21</v>
      </c>
      <c r="D80" s="50" t="s">
        <v>22</v>
      </c>
      <c r="E80" s="50" t="s">
        <v>23</v>
      </c>
      <c r="F80" s="50" t="s">
        <v>24</v>
      </c>
      <c r="G80" s="50" t="s">
        <v>25</v>
      </c>
      <c r="H80" s="47"/>
      <c r="I80" s="47"/>
      <c r="J80" s="48"/>
    </row>
    <row r="81" spans="2:10" ht="13" x14ac:dyDescent="0.15">
      <c r="B81" s="46" t="s">
        <v>26</v>
      </c>
      <c r="C81" s="47">
        <v>1</v>
      </c>
      <c r="D81" s="47">
        <v>928.05852532165454</v>
      </c>
      <c r="E81" s="47">
        <v>928.05852532165454</v>
      </c>
      <c r="F81" s="105">
        <v>14.3100473324799</v>
      </c>
      <c r="G81" s="105">
        <v>4.2995516165977746E-4</v>
      </c>
      <c r="H81" s="47"/>
      <c r="I81" s="47"/>
      <c r="J81" s="48"/>
    </row>
    <row r="82" spans="2:10" ht="13" x14ac:dyDescent="0.15">
      <c r="B82" s="46" t="s">
        <v>27</v>
      </c>
      <c r="C82" s="47">
        <v>48</v>
      </c>
      <c r="D82" s="47">
        <v>3112.9742746783459</v>
      </c>
      <c r="E82" s="47">
        <v>64.853630722465539</v>
      </c>
      <c r="F82" s="47"/>
      <c r="G82" s="47"/>
      <c r="H82" s="47"/>
      <c r="I82" s="47"/>
      <c r="J82" s="48"/>
    </row>
    <row r="83" spans="2:10" ht="13" x14ac:dyDescent="0.15">
      <c r="B83" s="51" t="s">
        <v>28</v>
      </c>
      <c r="C83" s="52">
        <v>49</v>
      </c>
      <c r="D83" s="52">
        <v>4041.0328000000004</v>
      </c>
      <c r="E83" s="52"/>
      <c r="F83" s="52"/>
      <c r="G83" s="52"/>
      <c r="H83" s="47"/>
      <c r="I83" s="47"/>
      <c r="J83" s="48"/>
    </row>
    <row r="84" spans="2:10" ht="13" x14ac:dyDescent="0.15">
      <c r="B84" s="46"/>
      <c r="C84" s="47"/>
      <c r="D84" s="47"/>
      <c r="E84" s="47"/>
      <c r="F84" s="47"/>
      <c r="G84" s="47"/>
      <c r="H84" s="47"/>
      <c r="I84" s="47"/>
      <c r="J84" s="48"/>
    </row>
    <row r="85" spans="2:10" ht="13" x14ac:dyDescent="0.15">
      <c r="B85" s="49"/>
      <c r="C85" s="50" t="s">
        <v>29</v>
      </c>
      <c r="D85" s="50" t="s">
        <v>18</v>
      </c>
      <c r="E85" s="50" t="s">
        <v>30</v>
      </c>
      <c r="F85" s="50" t="s">
        <v>31</v>
      </c>
      <c r="G85" s="50" t="s">
        <v>32</v>
      </c>
      <c r="H85" s="50" t="s">
        <v>33</v>
      </c>
      <c r="I85" s="50" t="s">
        <v>34</v>
      </c>
      <c r="J85" s="53" t="s">
        <v>35</v>
      </c>
    </row>
    <row r="86" spans="2:10" ht="13" x14ac:dyDescent="0.15">
      <c r="B86" s="46" t="s">
        <v>36</v>
      </c>
      <c r="C86" s="47">
        <v>-32.546688246334625</v>
      </c>
      <c r="D86" s="47">
        <v>13.354630710406138</v>
      </c>
      <c r="E86" s="47">
        <v>-2.4371088165675547</v>
      </c>
      <c r="F86" s="47">
        <v>1.8561959367694489E-2</v>
      </c>
      <c r="G86" s="47">
        <v>-59.397972927913187</v>
      </c>
      <c r="H86" s="47">
        <v>-5.6954035647560639</v>
      </c>
      <c r="I86" s="47">
        <v>-59.397972927913187</v>
      </c>
      <c r="J86" s="48">
        <v>-5.6954035647560639</v>
      </c>
    </row>
    <row r="87" spans="2:10" ht="13" x14ac:dyDescent="0.15">
      <c r="B87" s="51" t="s">
        <v>6</v>
      </c>
      <c r="C87" s="52">
        <v>1.3240395687693243</v>
      </c>
      <c r="D87" s="52">
        <v>0.35000998100047909</v>
      </c>
      <c r="E87" s="52">
        <v>3.7828623200534155</v>
      </c>
      <c r="F87" s="52">
        <v>4.299551616597767E-4</v>
      </c>
      <c r="G87" s="52">
        <v>0.62029733545436416</v>
      </c>
      <c r="H87" s="52">
        <v>2.0277818020842844</v>
      </c>
      <c r="I87" s="52">
        <v>0.62029733545436416</v>
      </c>
      <c r="J87" s="54">
        <v>2.0277818020842844</v>
      </c>
    </row>
    <row r="89" spans="2:10" ht="13" x14ac:dyDescent="0.15">
      <c r="B89" s="202" t="s">
        <v>40</v>
      </c>
      <c r="C89" s="203"/>
      <c r="D89" s="203"/>
      <c r="E89" s="203"/>
      <c r="F89" s="203"/>
      <c r="G89" s="203"/>
      <c r="H89" s="203"/>
      <c r="I89" s="203"/>
      <c r="J89" s="204"/>
    </row>
    <row r="90" spans="2:10" ht="13" x14ac:dyDescent="0.15">
      <c r="B90" s="205"/>
      <c r="C90" s="206"/>
      <c r="D90" s="206"/>
      <c r="E90" s="206"/>
      <c r="F90" s="206"/>
      <c r="G90" s="206"/>
      <c r="H90" s="206"/>
      <c r="I90" s="206"/>
      <c r="J90" s="207"/>
    </row>
    <row r="91" spans="2:10" ht="13" x14ac:dyDescent="0.15">
      <c r="B91" s="92" t="s">
        <v>12</v>
      </c>
      <c r="C91" s="93"/>
      <c r="D91" s="93"/>
      <c r="E91" s="93"/>
      <c r="F91" s="93"/>
      <c r="G91" s="93"/>
      <c r="H91" s="93"/>
      <c r="I91" s="93"/>
      <c r="J91" s="94"/>
    </row>
    <row r="92" spans="2:10" ht="13" x14ac:dyDescent="0.15">
      <c r="B92" s="92"/>
      <c r="C92" s="93"/>
      <c r="D92" s="93"/>
      <c r="E92" s="93"/>
      <c r="F92" s="93"/>
      <c r="G92" s="93"/>
      <c r="H92" s="93"/>
      <c r="I92" s="93"/>
      <c r="J92" s="94"/>
    </row>
    <row r="93" spans="2:10" ht="13" x14ac:dyDescent="0.15">
      <c r="B93" s="242" t="s">
        <v>14</v>
      </c>
      <c r="C93" s="243"/>
      <c r="D93" s="93"/>
      <c r="E93" s="93"/>
      <c r="F93" s="93"/>
      <c r="G93" s="93"/>
      <c r="H93" s="93"/>
      <c r="I93" s="93"/>
      <c r="J93" s="94"/>
    </row>
    <row r="94" spans="2:10" ht="13" x14ac:dyDescent="0.15">
      <c r="B94" s="92" t="s">
        <v>15</v>
      </c>
      <c r="C94" s="93">
        <v>0.72252239261735285</v>
      </c>
      <c r="D94" s="93"/>
      <c r="E94" s="93"/>
      <c r="F94" s="93"/>
      <c r="G94" s="93"/>
      <c r="H94" s="93"/>
      <c r="I94" s="93"/>
      <c r="J94" s="94"/>
    </row>
    <row r="95" spans="2:10" ht="13" x14ac:dyDescent="0.15">
      <c r="B95" s="92" t="s">
        <v>16</v>
      </c>
      <c r="C95" s="105">
        <v>0.5220386078335042</v>
      </c>
      <c r="D95" s="93"/>
      <c r="E95" s="93"/>
      <c r="F95" s="93"/>
      <c r="G95" s="93"/>
      <c r="H95" s="93"/>
      <c r="I95" s="93"/>
      <c r="J95" s="94"/>
    </row>
    <row r="96" spans="2:10" ht="13" x14ac:dyDescent="0.15">
      <c r="B96" s="92" t="s">
        <v>17</v>
      </c>
      <c r="C96" s="93">
        <v>0.51208107883003551</v>
      </c>
      <c r="D96" s="93"/>
      <c r="E96" s="93"/>
      <c r="F96" s="93"/>
      <c r="G96" s="93"/>
      <c r="H96" s="93"/>
      <c r="I96" s="93"/>
      <c r="J96" s="94"/>
    </row>
    <row r="97" spans="2:10" ht="13" x14ac:dyDescent="0.15">
      <c r="B97" s="92" t="s">
        <v>18</v>
      </c>
      <c r="C97" s="93">
        <v>6.3433982462059086</v>
      </c>
      <c r="D97" s="93"/>
      <c r="E97" s="93"/>
      <c r="F97" s="93"/>
      <c r="G97" s="93"/>
      <c r="H97" s="93"/>
      <c r="I97" s="93"/>
      <c r="J97" s="94"/>
    </row>
    <row r="98" spans="2:10" ht="13" x14ac:dyDescent="0.15">
      <c r="B98" s="97" t="s">
        <v>19</v>
      </c>
      <c r="C98" s="98">
        <v>50</v>
      </c>
      <c r="D98" s="93"/>
      <c r="E98" s="93"/>
      <c r="F98" s="93"/>
      <c r="G98" s="93"/>
      <c r="H98" s="93"/>
      <c r="I98" s="93"/>
      <c r="J98" s="94"/>
    </row>
    <row r="99" spans="2:10" ht="13" x14ac:dyDescent="0.15">
      <c r="B99" s="92"/>
      <c r="C99" s="93"/>
      <c r="D99" s="93"/>
      <c r="E99" s="93"/>
      <c r="F99" s="93"/>
      <c r="G99" s="93"/>
      <c r="H99" s="93"/>
      <c r="I99" s="93"/>
      <c r="J99" s="94"/>
    </row>
    <row r="100" spans="2:10" ht="13" x14ac:dyDescent="0.15">
      <c r="B100" s="92" t="s">
        <v>20</v>
      </c>
      <c r="C100" s="93"/>
      <c r="D100" s="93"/>
      <c r="E100" s="93"/>
      <c r="F100" s="93"/>
      <c r="G100" s="93"/>
      <c r="H100" s="93"/>
      <c r="I100" s="93"/>
      <c r="J100" s="94"/>
    </row>
    <row r="101" spans="2:10" ht="13" x14ac:dyDescent="0.15">
      <c r="B101" s="95"/>
      <c r="C101" s="96" t="s">
        <v>21</v>
      </c>
      <c r="D101" s="96" t="s">
        <v>22</v>
      </c>
      <c r="E101" s="96" t="s">
        <v>23</v>
      </c>
      <c r="F101" s="96" t="s">
        <v>24</v>
      </c>
      <c r="G101" s="96" t="s">
        <v>25</v>
      </c>
      <c r="H101" s="93"/>
      <c r="I101" s="93"/>
      <c r="J101" s="94"/>
    </row>
    <row r="102" spans="2:10" ht="13" x14ac:dyDescent="0.15">
      <c r="B102" s="92" t="s">
        <v>26</v>
      </c>
      <c r="C102" s="93">
        <v>1</v>
      </c>
      <c r="D102" s="93">
        <v>2109.5751371215274</v>
      </c>
      <c r="E102" s="93">
        <v>2109.5751371215274</v>
      </c>
      <c r="F102" s="105">
        <v>52.426521444391888</v>
      </c>
      <c r="G102" s="105">
        <v>3.1477687754971415E-9</v>
      </c>
      <c r="H102" s="93"/>
      <c r="I102" s="93"/>
      <c r="J102" s="94"/>
    </row>
    <row r="103" spans="2:10" ht="13" x14ac:dyDescent="0.15">
      <c r="B103" s="92" t="s">
        <v>27</v>
      </c>
      <c r="C103" s="93">
        <v>48</v>
      </c>
      <c r="D103" s="93">
        <v>1931.4576628784732</v>
      </c>
      <c r="E103" s="93">
        <v>40.238701309968192</v>
      </c>
      <c r="F103" s="93"/>
      <c r="G103" s="93"/>
      <c r="H103" s="93"/>
      <c r="I103" s="93"/>
      <c r="J103" s="94"/>
    </row>
    <row r="104" spans="2:10" ht="13" x14ac:dyDescent="0.15">
      <c r="B104" s="97" t="s">
        <v>28</v>
      </c>
      <c r="C104" s="98">
        <v>49</v>
      </c>
      <c r="D104" s="98">
        <v>4041.0328000000009</v>
      </c>
      <c r="E104" s="98"/>
      <c r="F104" s="98"/>
      <c r="G104" s="98"/>
      <c r="H104" s="93"/>
      <c r="I104" s="93"/>
      <c r="J104" s="94"/>
    </row>
    <row r="105" spans="2:10" ht="13" x14ac:dyDescent="0.15">
      <c r="B105" s="92"/>
      <c r="C105" s="93"/>
      <c r="D105" s="93"/>
      <c r="E105" s="93"/>
      <c r="F105" s="93"/>
      <c r="G105" s="93"/>
      <c r="H105" s="93"/>
      <c r="I105" s="93"/>
      <c r="J105" s="94"/>
    </row>
    <row r="106" spans="2:10" ht="13" x14ac:dyDescent="0.15">
      <c r="B106" s="95"/>
      <c r="C106" s="96" t="s">
        <v>29</v>
      </c>
      <c r="D106" s="96" t="s">
        <v>18</v>
      </c>
      <c r="E106" s="96" t="s">
        <v>30</v>
      </c>
      <c r="F106" s="96" t="s">
        <v>31</v>
      </c>
      <c r="G106" s="96" t="s">
        <v>32</v>
      </c>
      <c r="H106" s="96" t="s">
        <v>33</v>
      </c>
      <c r="I106" s="96" t="s">
        <v>34</v>
      </c>
      <c r="J106" s="99" t="s">
        <v>35</v>
      </c>
    </row>
    <row r="107" spans="2:10" ht="13" x14ac:dyDescent="0.15">
      <c r="B107" s="92" t="s">
        <v>36</v>
      </c>
      <c r="C107" s="93">
        <v>-44.72623085850887</v>
      </c>
      <c r="D107" s="93">
        <v>8.6803083186363885</v>
      </c>
      <c r="E107" s="93">
        <v>-5.1526085499155432</v>
      </c>
      <c r="F107" s="93">
        <v>4.7846980000846004E-6</v>
      </c>
      <c r="G107" s="93">
        <v>-62.179160470853944</v>
      </c>
      <c r="H107" s="93">
        <v>-27.273301246163797</v>
      </c>
      <c r="I107" s="93">
        <v>-62.179160470853944</v>
      </c>
      <c r="J107" s="94">
        <v>-27.273301246163797</v>
      </c>
    </row>
    <row r="108" spans="2:10" ht="13" x14ac:dyDescent="0.15">
      <c r="B108" s="97" t="s">
        <v>7</v>
      </c>
      <c r="C108" s="98">
        <v>0.61816935822431829</v>
      </c>
      <c r="D108" s="98">
        <v>8.5375242943324145E-2</v>
      </c>
      <c r="E108" s="98">
        <v>7.2406160956366055</v>
      </c>
      <c r="F108" s="98">
        <v>3.1477687754971531E-9</v>
      </c>
      <c r="G108" s="98">
        <v>0.44651092732185788</v>
      </c>
      <c r="H108" s="98">
        <v>0.78982778912677876</v>
      </c>
      <c r="I108" s="98">
        <v>0.44651092732185788</v>
      </c>
      <c r="J108" s="100">
        <v>0.78982778912677876</v>
      </c>
    </row>
    <row r="110" spans="2:10" ht="13" x14ac:dyDescent="0.15">
      <c r="B110" s="234" t="s">
        <v>41</v>
      </c>
      <c r="C110" s="235"/>
      <c r="D110" s="235"/>
      <c r="E110" s="235"/>
      <c r="F110" s="235"/>
      <c r="G110" s="235"/>
      <c r="H110" s="235"/>
      <c r="I110" s="235"/>
      <c r="J110" s="236"/>
    </row>
    <row r="111" spans="2:10" ht="13" x14ac:dyDescent="0.15">
      <c r="B111" s="237"/>
      <c r="C111" s="238"/>
      <c r="D111" s="238"/>
      <c r="E111" s="238"/>
      <c r="F111" s="238"/>
      <c r="G111" s="238"/>
      <c r="H111" s="238"/>
      <c r="I111" s="238"/>
      <c r="J111" s="239"/>
    </row>
    <row r="112" spans="2:10" ht="13" x14ac:dyDescent="0.15">
      <c r="B112" s="55" t="s">
        <v>12</v>
      </c>
      <c r="C112" s="101"/>
      <c r="D112" s="101"/>
      <c r="E112" s="101"/>
      <c r="F112" s="101"/>
      <c r="G112" s="101"/>
      <c r="H112" s="101"/>
      <c r="I112" s="101"/>
      <c r="J112" s="56"/>
    </row>
    <row r="113" spans="2:10" ht="13" x14ac:dyDescent="0.15">
      <c r="B113" s="55"/>
      <c r="C113" s="101"/>
      <c r="D113" s="101"/>
      <c r="E113" s="101"/>
      <c r="F113" s="101"/>
      <c r="G113" s="101"/>
      <c r="H113" s="101"/>
      <c r="I113" s="101"/>
      <c r="J113" s="56"/>
    </row>
    <row r="114" spans="2:10" ht="13" x14ac:dyDescent="0.15">
      <c r="B114" s="244" t="s">
        <v>14</v>
      </c>
      <c r="C114" s="245"/>
      <c r="D114" s="101"/>
      <c r="E114" s="101"/>
      <c r="F114" s="101"/>
      <c r="G114" s="101"/>
      <c r="H114" s="101"/>
      <c r="I114" s="101"/>
      <c r="J114" s="56"/>
    </row>
    <row r="115" spans="2:10" ht="13" x14ac:dyDescent="0.15">
      <c r="B115" s="55" t="s">
        <v>15</v>
      </c>
      <c r="C115" s="101">
        <v>0.82369612135119008</v>
      </c>
      <c r="D115" s="101"/>
      <c r="E115" s="101"/>
      <c r="F115" s="101"/>
      <c r="G115" s="101"/>
      <c r="H115" s="101"/>
      <c r="I115" s="101"/>
      <c r="J115" s="56"/>
    </row>
    <row r="116" spans="2:10" ht="13" x14ac:dyDescent="0.15">
      <c r="B116" s="55" t="s">
        <v>16</v>
      </c>
      <c r="C116" s="105">
        <v>0.6784753003289945</v>
      </c>
      <c r="D116" s="101"/>
      <c r="E116" s="101"/>
      <c r="F116" s="101"/>
      <c r="G116" s="101"/>
      <c r="H116" s="101"/>
      <c r="I116" s="101"/>
      <c r="J116" s="56"/>
    </row>
    <row r="117" spans="2:10" ht="13" x14ac:dyDescent="0.15">
      <c r="B117" s="55" t="s">
        <v>17</v>
      </c>
      <c r="C117" s="101">
        <v>0.67177686908584855</v>
      </c>
      <c r="D117" s="101"/>
      <c r="E117" s="101"/>
      <c r="F117" s="101"/>
      <c r="G117" s="101"/>
      <c r="H117" s="101"/>
      <c r="I117" s="101"/>
      <c r="J117" s="56"/>
    </row>
    <row r="118" spans="2:10" ht="13" x14ac:dyDescent="0.15">
      <c r="B118" s="55" t="s">
        <v>18</v>
      </c>
      <c r="C118" s="101">
        <v>5.2027473859584559</v>
      </c>
      <c r="D118" s="101"/>
      <c r="E118" s="101"/>
      <c r="F118" s="101"/>
      <c r="G118" s="101"/>
      <c r="H118" s="101"/>
      <c r="I118" s="101"/>
      <c r="J118" s="56"/>
    </row>
    <row r="119" spans="2:10" ht="13" x14ac:dyDescent="0.15">
      <c r="B119" s="59" t="s">
        <v>19</v>
      </c>
      <c r="C119" s="60">
        <v>50</v>
      </c>
      <c r="D119" s="101"/>
      <c r="E119" s="101"/>
      <c r="F119" s="101"/>
      <c r="G119" s="101"/>
      <c r="H119" s="101"/>
      <c r="I119" s="101"/>
      <c r="J119" s="56"/>
    </row>
    <row r="120" spans="2:10" ht="13" x14ac:dyDescent="0.15">
      <c r="B120" s="55"/>
      <c r="C120" s="101"/>
      <c r="D120" s="101"/>
      <c r="E120" s="101"/>
      <c r="F120" s="101"/>
      <c r="G120" s="101"/>
      <c r="H120" s="101"/>
      <c r="I120" s="101"/>
      <c r="J120" s="56"/>
    </row>
    <row r="121" spans="2:10" ht="13" x14ac:dyDescent="0.15">
      <c r="B121" s="55" t="s">
        <v>20</v>
      </c>
      <c r="C121" s="101"/>
      <c r="D121" s="101"/>
      <c r="E121" s="101"/>
      <c r="F121" s="101"/>
      <c r="G121" s="101"/>
      <c r="H121" s="101"/>
      <c r="I121" s="101"/>
      <c r="J121" s="56"/>
    </row>
    <row r="122" spans="2:10" ht="13" x14ac:dyDescent="0.15">
      <c r="B122" s="57"/>
      <c r="C122" s="58" t="s">
        <v>21</v>
      </c>
      <c r="D122" s="58" t="s">
        <v>22</v>
      </c>
      <c r="E122" s="58" t="s">
        <v>23</v>
      </c>
      <c r="F122" s="58" t="s">
        <v>24</v>
      </c>
      <c r="G122" s="58" t="s">
        <v>25</v>
      </c>
      <c r="H122" s="101"/>
      <c r="I122" s="101"/>
      <c r="J122" s="56"/>
    </row>
    <row r="123" spans="2:10" ht="13" x14ac:dyDescent="0.15">
      <c r="B123" s="55" t="s">
        <v>26</v>
      </c>
      <c r="C123" s="101">
        <v>1</v>
      </c>
      <c r="D123" s="101">
        <v>2741.740942619318</v>
      </c>
      <c r="E123" s="101">
        <v>2741.740942619318</v>
      </c>
      <c r="F123" s="105">
        <v>101.2886862163783</v>
      </c>
      <c r="G123" s="105">
        <v>2.0530895923589367E-13</v>
      </c>
      <c r="H123" s="101"/>
      <c r="I123" s="101"/>
      <c r="J123" s="56"/>
    </row>
    <row r="124" spans="2:10" ht="13" x14ac:dyDescent="0.15">
      <c r="B124" s="55" t="s">
        <v>27</v>
      </c>
      <c r="C124" s="101">
        <v>48</v>
      </c>
      <c r="D124" s="101">
        <v>1299.2918573806821</v>
      </c>
      <c r="E124" s="101">
        <v>27.068580362097546</v>
      </c>
      <c r="F124" s="101"/>
      <c r="G124" s="101"/>
      <c r="H124" s="101"/>
      <c r="I124" s="101"/>
      <c r="J124" s="56"/>
    </row>
    <row r="125" spans="2:10" ht="13" x14ac:dyDescent="0.15">
      <c r="B125" s="59" t="s">
        <v>28</v>
      </c>
      <c r="C125" s="60">
        <v>49</v>
      </c>
      <c r="D125" s="60">
        <v>4041.0328</v>
      </c>
      <c r="E125" s="60"/>
      <c r="F125" s="60"/>
      <c r="G125" s="60"/>
      <c r="H125" s="101"/>
      <c r="I125" s="101"/>
      <c r="J125" s="56"/>
    </row>
    <row r="126" spans="2:10" ht="13" x14ac:dyDescent="0.15">
      <c r="B126" s="55"/>
      <c r="C126" s="101"/>
      <c r="D126" s="101"/>
      <c r="E126" s="101"/>
      <c r="F126" s="101"/>
      <c r="G126" s="101"/>
      <c r="H126" s="101"/>
      <c r="I126" s="101"/>
      <c r="J126" s="56"/>
    </row>
    <row r="127" spans="2:10" ht="13" x14ac:dyDescent="0.15">
      <c r="B127" s="57"/>
      <c r="C127" s="58" t="s">
        <v>29</v>
      </c>
      <c r="D127" s="58" t="s">
        <v>18</v>
      </c>
      <c r="E127" s="58" t="s">
        <v>30</v>
      </c>
      <c r="F127" s="58" t="s">
        <v>31</v>
      </c>
      <c r="G127" s="58" t="s">
        <v>32</v>
      </c>
      <c r="H127" s="58" t="s">
        <v>33</v>
      </c>
      <c r="I127" s="58" t="s">
        <v>34</v>
      </c>
      <c r="J127" s="61" t="s">
        <v>35</v>
      </c>
    </row>
    <row r="128" spans="2:10" ht="13" x14ac:dyDescent="0.15">
      <c r="B128" s="55" t="s">
        <v>36</v>
      </c>
      <c r="C128" s="101">
        <v>-29.684926876654149</v>
      </c>
      <c r="D128" s="101">
        <v>4.7740366655922779</v>
      </c>
      <c r="E128" s="101">
        <v>-6.217993064569681</v>
      </c>
      <c r="F128" s="101">
        <v>1.1637131599266787E-7</v>
      </c>
      <c r="G128" s="101">
        <v>-39.283770930666471</v>
      </c>
      <c r="H128" s="101">
        <v>-20.086082822641824</v>
      </c>
      <c r="I128" s="101">
        <v>-39.283770930666471</v>
      </c>
      <c r="J128" s="56">
        <v>-20.086082822641824</v>
      </c>
    </row>
    <row r="129" spans="2:10" ht="13" x14ac:dyDescent="0.15">
      <c r="B129" s="59" t="s">
        <v>8</v>
      </c>
      <c r="C129" s="60">
        <v>0.51556176017217814</v>
      </c>
      <c r="D129" s="60">
        <v>5.1227154002976019E-2</v>
      </c>
      <c r="E129" s="60">
        <v>10.064228048706878</v>
      </c>
      <c r="F129" s="60">
        <v>2.0530895923589443E-13</v>
      </c>
      <c r="G129" s="60">
        <v>0.41256266379962525</v>
      </c>
      <c r="H129" s="60">
        <v>0.61856085654473103</v>
      </c>
      <c r="I129" s="60">
        <v>0.41256266379962525</v>
      </c>
      <c r="J129" s="62">
        <v>0.61856085654473103</v>
      </c>
    </row>
    <row r="131" spans="2:10" ht="13" x14ac:dyDescent="0.15">
      <c r="B131" s="216" t="s">
        <v>42</v>
      </c>
      <c r="C131" s="217"/>
      <c r="D131" s="217"/>
      <c r="E131" s="217"/>
      <c r="F131" s="217"/>
      <c r="G131" s="217"/>
      <c r="H131" s="217"/>
      <c r="I131" s="217"/>
      <c r="J131" s="218"/>
    </row>
    <row r="132" spans="2:10" ht="13" x14ac:dyDescent="0.15">
      <c r="B132" s="219"/>
      <c r="C132" s="220"/>
      <c r="D132" s="220"/>
      <c r="E132" s="220"/>
      <c r="F132" s="220"/>
      <c r="G132" s="220"/>
      <c r="H132" s="220"/>
      <c r="I132" s="220"/>
      <c r="J132" s="221"/>
    </row>
    <row r="133" spans="2:10" ht="13" x14ac:dyDescent="0.15">
      <c r="B133" s="72" t="s">
        <v>12</v>
      </c>
      <c r="C133" s="73"/>
      <c r="D133" s="73"/>
      <c r="E133" s="73"/>
      <c r="F133" s="73"/>
      <c r="G133" s="73"/>
      <c r="H133" s="73"/>
      <c r="I133" s="73"/>
      <c r="J133" s="74"/>
    </row>
    <row r="134" spans="2:10" ht="13" x14ac:dyDescent="0.15">
      <c r="B134" s="72"/>
      <c r="C134" s="73"/>
      <c r="D134" s="73"/>
      <c r="E134" s="73"/>
      <c r="F134" s="73"/>
      <c r="G134" s="73"/>
      <c r="H134" s="73"/>
      <c r="I134" s="73"/>
      <c r="J134" s="74"/>
    </row>
    <row r="135" spans="2:10" ht="13" x14ac:dyDescent="0.15">
      <c r="B135" s="246" t="s">
        <v>14</v>
      </c>
      <c r="C135" s="247"/>
      <c r="D135" s="73"/>
      <c r="E135" s="73"/>
      <c r="F135" s="73"/>
      <c r="G135" s="73"/>
      <c r="H135" s="73"/>
      <c r="I135" s="73"/>
      <c r="J135" s="74"/>
    </row>
    <row r="136" spans="2:10" ht="13" x14ac:dyDescent="0.15">
      <c r="B136" s="72" t="s">
        <v>15</v>
      </c>
      <c r="C136" s="73">
        <v>0.69262228519012015</v>
      </c>
      <c r="D136" s="73"/>
      <c r="E136" s="73"/>
      <c r="F136" s="73"/>
      <c r="G136" s="73"/>
      <c r="H136" s="73"/>
      <c r="I136" s="73"/>
      <c r="J136" s="74"/>
    </row>
    <row r="137" spans="2:10" ht="13" x14ac:dyDescent="0.15">
      <c r="B137" s="72" t="s">
        <v>16</v>
      </c>
      <c r="C137" s="105">
        <v>0.47972562994198409</v>
      </c>
      <c r="D137" s="73"/>
      <c r="E137" s="73"/>
      <c r="F137" s="73"/>
      <c r="G137" s="73"/>
      <c r="H137" s="73"/>
      <c r="I137" s="73"/>
      <c r="J137" s="74"/>
    </row>
    <row r="138" spans="2:10" ht="13" x14ac:dyDescent="0.15">
      <c r="B138" s="72" t="s">
        <v>17</v>
      </c>
      <c r="C138" s="73">
        <v>0.46888658056577542</v>
      </c>
      <c r="D138" s="73"/>
      <c r="E138" s="73"/>
      <c r="F138" s="73"/>
      <c r="G138" s="73"/>
      <c r="H138" s="73"/>
      <c r="I138" s="73"/>
      <c r="J138" s="74"/>
    </row>
    <row r="139" spans="2:10" ht="13" x14ac:dyDescent="0.15">
      <c r="B139" s="72" t="s">
        <v>18</v>
      </c>
      <c r="C139" s="73">
        <v>6.6182289209484706</v>
      </c>
      <c r="D139" s="73"/>
      <c r="E139" s="73"/>
      <c r="F139" s="73"/>
      <c r="G139" s="73"/>
      <c r="H139" s="73"/>
      <c r="I139" s="73"/>
      <c r="J139" s="74"/>
    </row>
    <row r="140" spans="2:10" ht="13" x14ac:dyDescent="0.15">
      <c r="B140" s="77" t="s">
        <v>19</v>
      </c>
      <c r="C140" s="78">
        <v>50</v>
      </c>
      <c r="D140" s="73"/>
      <c r="E140" s="73"/>
      <c r="F140" s="73"/>
      <c r="G140" s="73"/>
      <c r="H140" s="73"/>
      <c r="I140" s="73"/>
      <c r="J140" s="74"/>
    </row>
    <row r="141" spans="2:10" ht="13" x14ac:dyDescent="0.15">
      <c r="B141" s="72"/>
      <c r="C141" s="73"/>
      <c r="D141" s="73"/>
      <c r="E141" s="73"/>
      <c r="F141" s="73"/>
      <c r="G141" s="73"/>
      <c r="H141" s="73"/>
      <c r="I141" s="73"/>
      <c r="J141" s="74"/>
    </row>
    <row r="142" spans="2:10" ht="13" x14ac:dyDescent="0.15">
      <c r="B142" s="72" t="s">
        <v>20</v>
      </c>
      <c r="C142" s="73"/>
      <c r="D142" s="73"/>
      <c r="E142" s="73"/>
      <c r="F142" s="73"/>
      <c r="G142" s="73"/>
      <c r="H142" s="73"/>
      <c r="I142" s="73"/>
      <c r="J142" s="74"/>
    </row>
    <row r="143" spans="2:10" ht="13" x14ac:dyDescent="0.15">
      <c r="B143" s="75"/>
      <c r="C143" s="76" t="s">
        <v>21</v>
      </c>
      <c r="D143" s="76" t="s">
        <v>22</v>
      </c>
      <c r="E143" s="76" t="s">
        <v>23</v>
      </c>
      <c r="F143" s="76" t="s">
        <v>24</v>
      </c>
      <c r="G143" s="76" t="s">
        <v>25</v>
      </c>
      <c r="H143" s="73"/>
      <c r="I143" s="73"/>
      <c r="J143" s="74"/>
    </row>
    <row r="144" spans="2:10" ht="13" x14ac:dyDescent="0.15">
      <c r="B144" s="72" t="s">
        <v>26</v>
      </c>
      <c r="C144" s="73">
        <v>1</v>
      </c>
      <c r="D144" s="73">
        <v>1938.58700559622</v>
      </c>
      <c r="E144" s="73">
        <v>1938.58700559622</v>
      </c>
      <c r="F144" s="105">
        <v>44.259013248427962</v>
      </c>
      <c r="G144" s="105">
        <v>2.5070587168287256E-8</v>
      </c>
      <c r="H144" s="73"/>
      <c r="I144" s="73"/>
      <c r="J144" s="74"/>
    </row>
    <row r="145" spans="2:10" ht="13" x14ac:dyDescent="0.15">
      <c r="B145" s="72" t="s">
        <v>27</v>
      </c>
      <c r="C145" s="73">
        <v>48</v>
      </c>
      <c r="D145" s="73">
        <v>2102.4457944037804</v>
      </c>
      <c r="E145" s="73">
        <v>43.800954050078758</v>
      </c>
      <c r="F145" s="73"/>
      <c r="G145" s="73"/>
      <c r="H145" s="73"/>
      <c r="I145" s="73"/>
      <c r="J145" s="74"/>
    </row>
    <row r="146" spans="2:10" ht="13" x14ac:dyDescent="0.15">
      <c r="B146" s="77" t="s">
        <v>28</v>
      </c>
      <c r="C146" s="78">
        <v>49</v>
      </c>
      <c r="D146" s="78">
        <v>4041.0328000000004</v>
      </c>
      <c r="E146" s="78"/>
      <c r="F146" s="78"/>
      <c r="G146" s="78"/>
      <c r="H146" s="73"/>
      <c r="I146" s="73"/>
      <c r="J146" s="74"/>
    </row>
    <row r="147" spans="2:10" ht="13" x14ac:dyDescent="0.15">
      <c r="B147" s="72"/>
      <c r="C147" s="73"/>
      <c r="D147" s="73"/>
      <c r="E147" s="73"/>
      <c r="F147" s="73"/>
      <c r="G147" s="73"/>
      <c r="H147" s="73"/>
      <c r="I147" s="73"/>
      <c r="J147" s="74"/>
    </row>
    <row r="148" spans="2:10" ht="13" x14ac:dyDescent="0.15">
      <c r="B148" s="75"/>
      <c r="C148" s="76" t="s">
        <v>29</v>
      </c>
      <c r="D148" s="76" t="s">
        <v>18</v>
      </c>
      <c r="E148" s="76" t="s">
        <v>30</v>
      </c>
      <c r="F148" s="76" t="s">
        <v>31</v>
      </c>
      <c r="G148" s="76" t="s">
        <v>32</v>
      </c>
      <c r="H148" s="76" t="s">
        <v>33</v>
      </c>
      <c r="I148" s="76" t="s">
        <v>34</v>
      </c>
      <c r="J148" s="79" t="s">
        <v>35</v>
      </c>
    </row>
    <row r="149" spans="2:10" ht="13" x14ac:dyDescent="0.15">
      <c r="B149" s="72" t="s">
        <v>36</v>
      </c>
      <c r="C149" s="73">
        <v>-43.553755652648022</v>
      </c>
      <c r="D149" s="73">
        <v>9.2679004294673817</v>
      </c>
      <c r="E149" s="73">
        <v>-4.6994198938702905</v>
      </c>
      <c r="F149" s="73">
        <v>2.2256286302866202E-5</v>
      </c>
      <c r="G149" s="73">
        <v>-62.188118386335681</v>
      </c>
      <c r="H149" s="73">
        <v>-24.919392918960362</v>
      </c>
      <c r="I149" s="73">
        <v>-62.188118386335681</v>
      </c>
      <c r="J149" s="74">
        <v>-24.919392918960362</v>
      </c>
    </row>
    <row r="150" spans="2:10" ht="13" x14ac:dyDescent="0.15">
      <c r="B150" s="77" t="s">
        <v>9</v>
      </c>
      <c r="C150" s="78">
        <v>0.60104798891461741</v>
      </c>
      <c r="D150" s="78">
        <v>9.0345865929919847E-2</v>
      </c>
      <c r="E150" s="78">
        <v>6.6527447905678692</v>
      </c>
      <c r="F150" s="78">
        <v>2.5070587168287491E-8</v>
      </c>
      <c r="G150" s="78">
        <v>0.41939545066826173</v>
      </c>
      <c r="H150" s="78">
        <v>0.78270052716097316</v>
      </c>
      <c r="I150" s="78">
        <v>0.41939545066826173</v>
      </c>
      <c r="J150" s="80">
        <v>0.78270052716097316</v>
      </c>
    </row>
    <row r="152" spans="2:10" ht="13" x14ac:dyDescent="0.15">
      <c r="B152" s="222" t="s">
        <v>43</v>
      </c>
      <c r="C152" s="223"/>
      <c r="D152" s="223"/>
      <c r="E152" s="223"/>
      <c r="F152" s="223"/>
      <c r="G152" s="223"/>
      <c r="H152" s="223"/>
      <c r="I152" s="223"/>
      <c r="J152" s="224"/>
    </row>
    <row r="153" spans="2:10" ht="13" x14ac:dyDescent="0.15">
      <c r="B153" s="225"/>
      <c r="C153" s="226"/>
      <c r="D153" s="226"/>
      <c r="E153" s="226"/>
      <c r="F153" s="226"/>
      <c r="G153" s="226"/>
      <c r="H153" s="226"/>
      <c r="I153" s="226"/>
      <c r="J153" s="227"/>
    </row>
    <row r="154" spans="2:10" ht="13" x14ac:dyDescent="0.15">
      <c r="B154" s="83" t="s">
        <v>12</v>
      </c>
      <c r="C154" s="84"/>
      <c r="D154" s="84"/>
      <c r="E154" s="84"/>
      <c r="F154" s="84"/>
      <c r="G154" s="84"/>
      <c r="H154" s="84"/>
      <c r="I154" s="84"/>
      <c r="J154" s="85"/>
    </row>
    <row r="155" spans="2:10" ht="13" x14ac:dyDescent="0.15">
      <c r="B155" s="63"/>
      <c r="C155" s="64"/>
      <c r="D155" s="64"/>
      <c r="E155" s="64"/>
      <c r="F155" s="64"/>
      <c r="G155" s="64"/>
      <c r="H155" s="64"/>
      <c r="I155" s="64"/>
      <c r="J155" s="65"/>
    </row>
    <row r="156" spans="2:10" ht="13" x14ac:dyDescent="0.15">
      <c r="B156" s="182" t="s">
        <v>14</v>
      </c>
      <c r="C156" s="183"/>
      <c r="D156" s="64"/>
      <c r="E156" s="64"/>
      <c r="F156" s="64"/>
      <c r="G156" s="64"/>
      <c r="H156" s="64"/>
      <c r="I156" s="64"/>
      <c r="J156" s="65"/>
    </row>
    <row r="157" spans="2:10" ht="13" x14ac:dyDescent="0.15">
      <c r="B157" s="63" t="s">
        <v>15</v>
      </c>
      <c r="C157" s="64">
        <v>0.68222402772230195</v>
      </c>
      <c r="D157" s="64"/>
      <c r="E157" s="64"/>
      <c r="F157" s="64"/>
      <c r="G157" s="64"/>
      <c r="H157" s="64"/>
      <c r="I157" s="64"/>
      <c r="J157" s="65"/>
    </row>
    <row r="158" spans="2:10" ht="13" x14ac:dyDescent="0.15">
      <c r="B158" s="63" t="s">
        <v>16</v>
      </c>
      <c r="C158" s="105">
        <v>0.46542962400164017</v>
      </c>
      <c r="D158" s="64"/>
      <c r="E158" s="64"/>
      <c r="F158" s="64"/>
      <c r="G158" s="64"/>
      <c r="H158" s="64"/>
      <c r="I158" s="64"/>
      <c r="J158" s="65"/>
    </row>
    <row r="159" spans="2:10" ht="13" x14ac:dyDescent="0.15">
      <c r="B159" s="63" t="s">
        <v>17</v>
      </c>
      <c r="C159" s="64">
        <v>0.45429274116834101</v>
      </c>
      <c r="D159" s="64"/>
      <c r="E159" s="64"/>
      <c r="F159" s="64"/>
      <c r="G159" s="64"/>
      <c r="H159" s="64"/>
      <c r="I159" s="64"/>
      <c r="J159" s="65"/>
    </row>
    <row r="160" spans="2:10" ht="13" x14ac:dyDescent="0.15">
      <c r="B160" s="63" t="s">
        <v>18</v>
      </c>
      <c r="C160" s="64">
        <v>6.7085399916165702</v>
      </c>
      <c r="D160" s="64"/>
      <c r="E160" s="64"/>
      <c r="F160" s="64"/>
      <c r="G160" s="64"/>
      <c r="H160" s="64"/>
      <c r="I160" s="64"/>
      <c r="J160" s="65"/>
    </row>
    <row r="161" spans="2:10" ht="13" x14ac:dyDescent="0.15">
      <c r="B161" s="68" t="s">
        <v>19</v>
      </c>
      <c r="C161" s="69">
        <v>50</v>
      </c>
      <c r="D161" s="64"/>
      <c r="E161" s="64"/>
      <c r="F161" s="64"/>
      <c r="G161" s="64"/>
      <c r="H161" s="64"/>
      <c r="I161" s="64"/>
      <c r="J161" s="65"/>
    </row>
    <row r="162" spans="2:10" ht="13" x14ac:dyDescent="0.15">
      <c r="B162" s="63"/>
      <c r="C162" s="64"/>
      <c r="D162" s="64"/>
      <c r="E162" s="64"/>
      <c r="F162" s="64"/>
      <c r="G162" s="64"/>
      <c r="H162" s="64"/>
      <c r="I162" s="64"/>
      <c r="J162" s="65"/>
    </row>
    <row r="163" spans="2:10" ht="13" x14ac:dyDescent="0.15">
      <c r="B163" s="63" t="s">
        <v>20</v>
      </c>
      <c r="C163" s="64"/>
      <c r="D163" s="64"/>
      <c r="E163" s="64"/>
      <c r="F163" s="64"/>
      <c r="G163" s="64"/>
      <c r="H163" s="64"/>
      <c r="I163" s="64"/>
      <c r="J163" s="65"/>
    </row>
    <row r="164" spans="2:10" ht="13" x14ac:dyDescent="0.15">
      <c r="B164" s="66"/>
      <c r="C164" s="67" t="s">
        <v>21</v>
      </c>
      <c r="D164" s="67" t="s">
        <v>22</v>
      </c>
      <c r="E164" s="67" t="s">
        <v>23</v>
      </c>
      <c r="F164" s="67" t="s">
        <v>24</v>
      </c>
      <c r="G164" s="67" t="s">
        <v>25</v>
      </c>
      <c r="H164" s="64"/>
      <c r="I164" s="64"/>
      <c r="J164" s="65"/>
    </row>
    <row r="165" spans="2:10" ht="13" x14ac:dyDescent="0.15">
      <c r="B165" s="63" t="s">
        <v>26</v>
      </c>
      <c r="C165" s="64">
        <v>1</v>
      </c>
      <c r="D165" s="64">
        <v>1880.8163766822954</v>
      </c>
      <c r="E165" s="64">
        <v>1880.8163766822954</v>
      </c>
      <c r="F165" s="105">
        <v>41.791732118255794</v>
      </c>
      <c r="G165" s="105">
        <v>4.8726856775119119E-8</v>
      </c>
      <c r="H165" s="64"/>
      <c r="I165" s="64"/>
      <c r="J165" s="65"/>
    </row>
    <row r="166" spans="2:10" ht="13" x14ac:dyDescent="0.15">
      <c r="B166" s="63" t="s">
        <v>27</v>
      </c>
      <c r="C166" s="64">
        <v>48</v>
      </c>
      <c r="D166" s="64">
        <v>2160.216423317705</v>
      </c>
      <c r="E166" s="64">
        <v>45.004508819118854</v>
      </c>
      <c r="F166" s="64"/>
      <c r="G166" s="64"/>
      <c r="H166" s="64"/>
      <c r="I166" s="64"/>
      <c r="J166" s="65"/>
    </row>
    <row r="167" spans="2:10" ht="13" x14ac:dyDescent="0.15">
      <c r="B167" s="68" t="s">
        <v>28</v>
      </c>
      <c r="C167" s="69">
        <v>49</v>
      </c>
      <c r="D167" s="69">
        <v>4041.0328000000004</v>
      </c>
      <c r="E167" s="69"/>
      <c r="F167" s="69"/>
      <c r="G167" s="69"/>
      <c r="H167" s="64"/>
      <c r="I167" s="64"/>
      <c r="J167" s="65"/>
    </row>
    <row r="168" spans="2:10" ht="13" x14ac:dyDescent="0.15">
      <c r="B168" s="63"/>
      <c r="C168" s="64"/>
      <c r="D168" s="64"/>
      <c r="E168" s="64"/>
      <c r="F168" s="64"/>
      <c r="G168" s="64"/>
      <c r="H168" s="64"/>
      <c r="I168" s="64"/>
      <c r="J168" s="65"/>
    </row>
    <row r="169" spans="2:10" ht="13" x14ac:dyDescent="0.15">
      <c r="B169" s="66"/>
      <c r="C169" s="67" t="s">
        <v>29</v>
      </c>
      <c r="D169" s="67" t="s">
        <v>18</v>
      </c>
      <c r="E169" s="67" t="s">
        <v>30</v>
      </c>
      <c r="F169" s="67" t="s">
        <v>31</v>
      </c>
      <c r="G169" s="67" t="s">
        <v>32</v>
      </c>
      <c r="H169" s="67" t="s">
        <v>33</v>
      </c>
      <c r="I169" s="67" t="s">
        <v>34</v>
      </c>
      <c r="J169" s="70" t="s">
        <v>35</v>
      </c>
    </row>
    <row r="170" spans="2:10" ht="13" x14ac:dyDescent="0.15">
      <c r="B170" s="63" t="s">
        <v>36</v>
      </c>
      <c r="C170" s="64">
        <v>-38.954116520464723</v>
      </c>
      <c r="D170" s="64">
        <v>8.8284128641866726</v>
      </c>
      <c r="E170" s="64">
        <v>-4.4123578178458258</v>
      </c>
      <c r="F170" s="64">
        <v>5.7664710723332158E-5</v>
      </c>
      <c r="G170" s="64">
        <v>-56.704830279855337</v>
      </c>
      <c r="H170" s="64">
        <v>-21.203402761074106</v>
      </c>
      <c r="I170" s="64">
        <v>-56.704830279855337</v>
      </c>
      <c r="J170" s="65">
        <v>-21.203402761074106</v>
      </c>
    </row>
    <row r="171" spans="2:10" ht="13" x14ac:dyDescent="0.15">
      <c r="B171" s="68" t="s">
        <v>10</v>
      </c>
      <c r="C171" s="69">
        <v>0.922546036491801</v>
      </c>
      <c r="D171" s="69">
        <v>0.14270620649568566</v>
      </c>
      <c r="E171" s="69">
        <v>6.4646525133417496</v>
      </c>
      <c r="F171" s="69">
        <v>4.8726856775119119E-8</v>
      </c>
      <c r="G171" s="69">
        <v>0.63561597758287458</v>
      </c>
      <c r="H171" s="69">
        <v>1.2094760954007275</v>
      </c>
      <c r="I171" s="69">
        <v>0.63561597758287458</v>
      </c>
      <c r="J171" s="71">
        <v>1.2094760954007275</v>
      </c>
    </row>
    <row r="175" spans="2:10" ht="25.5" customHeight="1" x14ac:dyDescent="0.15"/>
    <row r="176" spans="2:10" ht="25.5" customHeight="1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</sheetData>
  <mergeCells count="17">
    <mergeCell ref="W5:AF6"/>
    <mergeCell ref="B93:C93"/>
    <mergeCell ref="B114:C114"/>
    <mergeCell ref="B135:C135"/>
    <mergeCell ref="B156:C156"/>
    <mergeCell ref="B3:J4"/>
    <mergeCell ref="B24:J25"/>
    <mergeCell ref="B68:J69"/>
    <mergeCell ref="B89:J90"/>
    <mergeCell ref="B7:C7"/>
    <mergeCell ref="B28:C28"/>
    <mergeCell ref="B51:C51"/>
    <mergeCell ref="B72:C72"/>
    <mergeCell ref="B131:J132"/>
    <mergeCell ref="B152:J153"/>
    <mergeCell ref="B47:J48"/>
    <mergeCell ref="B110:J111"/>
  </mergeCells>
  <pageMargins left="0.7" right="0.7" top="0.75" bottom="0.75" header="0.3" footer="0.3"/>
  <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6D286E5C-B078-4445-AECF-F69D0E3CDFBA}">
          <xm:f>'FWSR Step 2'!$H$4:$I$54</xm:f>
        </x15:webExtension>
        <x15:webExtension appRef="{599D52B8-234C-4331-AFF9-7C4A3264681E}">
          <xm:f>'IMPR Step 6'!$G$4:$P$23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854E5-ADEF-49B0-9216-C53BE19F8591}">
  <dimension ref="B2:J47"/>
  <sheetViews>
    <sheetView topLeftCell="A30" workbookViewId="0">
      <selection activeCell="C51" sqref="C51"/>
    </sheetView>
  </sheetViews>
  <sheetFormatPr baseColWidth="10" defaultColWidth="8.83203125" defaultRowHeight="13" x14ac:dyDescent="0.15"/>
  <cols>
    <col min="2" max="2" width="20.83203125" customWidth="1"/>
    <col min="3" max="3" width="12.6640625" bestFit="1" customWidth="1"/>
    <col min="4" max="4" width="13.5" bestFit="1" customWidth="1"/>
    <col min="5" max="5" width="12.6640625" bestFit="1" customWidth="1"/>
    <col min="6" max="6" width="12.5" bestFit="1" customWidth="1"/>
    <col min="7" max="7" width="12.83203125" bestFit="1" customWidth="1"/>
    <col min="8" max="10" width="12.6640625" bestFit="1" customWidth="1"/>
  </cols>
  <sheetData>
    <row r="2" spans="2:10" x14ac:dyDescent="0.15">
      <c r="C2" s="103"/>
    </row>
    <row r="3" spans="2:10" x14ac:dyDescent="0.15">
      <c r="C3" s="103"/>
    </row>
    <row r="6" spans="2:10" x14ac:dyDescent="0.15">
      <c r="B6" s="153" t="s">
        <v>12</v>
      </c>
      <c r="C6" s="154"/>
      <c r="D6" s="154"/>
      <c r="E6" s="154"/>
      <c r="F6" s="154"/>
      <c r="G6" s="154"/>
      <c r="H6" s="154"/>
      <c r="I6" s="154"/>
      <c r="J6" s="154"/>
    </row>
    <row r="7" spans="2:10" x14ac:dyDescent="0.15">
      <c r="B7" s="154"/>
      <c r="C7" s="154"/>
      <c r="D7" s="154"/>
      <c r="E7" s="154"/>
      <c r="F7" s="154"/>
      <c r="G7" s="154"/>
      <c r="H7" s="154"/>
      <c r="I7" s="154"/>
      <c r="J7" s="154"/>
    </row>
    <row r="8" spans="2:10" x14ac:dyDescent="0.15">
      <c r="B8" s="155" t="s">
        <v>14</v>
      </c>
      <c r="C8" s="156"/>
      <c r="D8" s="154"/>
      <c r="E8" s="154"/>
      <c r="F8" s="154"/>
      <c r="G8" s="154"/>
      <c r="H8" s="154"/>
      <c r="I8" s="154"/>
      <c r="J8" s="154"/>
    </row>
    <row r="9" spans="2:10" x14ac:dyDescent="0.15">
      <c r="B9" s="154" t="s">
        <v>15</v>
      </c>
      <c r="C9" s="154">
        <v>0.91714633438294302</v>
      </c>
      <c r="D9" s="154"/>
      <c r="E9" s="154"/>
      <c r="F9" s="154"/>
      <c r="G9" s="154"/>
      <c r="H9" s="154"/>
      <c r="I9" s="154"/>
      <c r="J9" s="154"/>
    </row>
    <row r="10" spans="2:10" x14ac:dyDescent="0.15">
      <c r="B10" s="154" t="s">
        <v>16</v>
      </c>
      <c r="C10" s="154">
        <v>0.84115739867206896</v>
      </c>
      <c r="D10" s="154"/>
      <c r="E10" s="154"/>
      <c r="F10" s="154"/>
      <c r="G10" s="154"/>
      <c r="H10" s="154"/>
      <c r="I10" s="154"/>
      <c r="J10" s="154"/>
    </row>
    <row r="11" spans="2:10" x14ac:dyDescent="0.15">
      <c r="B11" s="154" t="s">
        <v>17</v>
      </c>
      <c r="C11" s="154">
        <v>0.81016372036418105</v>
      </c>
      <c r="D11" s="154"/>
      <c r="E11" s="154"/>
      <c r="F11" s="154"/>
      <c r="G11" s="154"/>
      <c r="H11" s="154"/>
      <c r="I11" s="154"/>
      <c r="J11" s="154"/>
    </row>
    <row r="12" spans="2:10" x14ac:dyDescent="0.15">
      <c r="B12" s="154" t="s">
        <v>18</v>
      </c>
      <c r="C12" s="154">
        <v>3.9567421990007601</v>
      </c>
      <c r="D12" s="154"/>
      <c r="E12" s="154"/>
      <c r="F12" s="154"/>
      <c r="G12" s="154"/>
      <c r="H12" s="154"/>
      <c r="I12" s="154"/>
      <c r="J12" s="154"/>
    </row>
    <row r="13" spans="2:10" x14ac:dyDescent="0.15">
      <c r="B13" s="157" t="s">
        <v>19</v>
      </c>
      <c r="C13" s="157">
        <v>50</v>
      </c>
      <c r="D13" s="154"/>
      <c r="E13" s="154"/>
      <c r="F13" s="154"/>
      <c r="G13" s="154"/>
      <c r="H13" s="154"/>
      <c r="I13" s="154"/>
      <c r="J13" s="154"/>
    </row>
    <row r="14" spans="2:10" x14ac:dyDescent="0.15">
      <c r="B14" s="154"/>
      <c r="C14" s="154"/>
      <c r="D14" s="154"/>
      <c r="E14" s="154"/>
      <c r="F14" s="154"/>
      <c r="G14" s="154"/>
      <c r="H14" s="154"/>
      <c r="I14" s="154"/>
      <c r="J14" s="154"/>
    </row>
    <row r="15" spans="2:10" x14ac:dyDescent="0.15">
      <c r="B15" s="153" t="s">
        <v>20</v>
      </c>
      <c r="C15" s="154"/>
      <c r="D15" s="154"/>
      <c r="E15" s="154"/>
      <c r="F15" s="154"/>
      <c r="G15" s="154"/>
      <c r="H15" s="154"/>
      <c r="I15" s="154"/>
      <c r="J15" s="154"/>
    </row>
    <row r="16" spans="2:10" x14ac:dyDescent="0.15">
      <c r="B16" s="156"/>
      <c r="C16" s="158" t="s">
        <v>21</v>
      </c>
      <c r="D16" s="158" t="s">
        <v>22</v>
      </c>
      <c r="E16" s="158" t="s">
        <v>23</v>
      </c>
      <c r="F16" s="158" t="s">
        <v>24</v>
      </c>
      <c r="G16" s="158" t="s">
        <v>25</v>
      </c>
      <c r="H16" s="154"/>
      <c r="I16" s="154"/>
      <c r="J16" s="154"/>
    </row>
    <row r="17" spans="2:10" x14ac:dyDescent="0.15">
      <c r="B17" s="154" t="s">
        <v>26</v>
      </c>
      <c r="C17" s="154">
        <v>8</v>
      </c>
      <c r="D17" s="154">
        <v>3399.14463799651</v>
      </c>
      <c r="E17" s="154">
        <v>424.89307974956301</v>
      </c>
      <c r="F17" s="154">
        <v>27.139644101486599</v>
      </c>
      <c r="G17" s="159">
        <v>4.8294701571194297E-14</v>
      </c>
      <c r="H17" s="154"/>
      <c r="I17" s="154"/>
      <c r="J17" s="154"/>
    </row>
    <row r="18" spans="2:10" x14ac:dyDescent="0.15">
      <c r="B18" s="154" t="s">
        <v>27</v>
      </c>
      <c r="C18" s="154">
        <v>41</v>
      </c>
      <c r="D18" s="154">
        <v>641.88816200348901</v>
      </c>
      <c r="E18" s="154">
        <v>15.655808829353299</v>
      </c>
      <c r="F18" s="154"/>
      <c r="G18" s="154"/>
      <c r="H18" s="154"/>
      <c r="I18" s="154"/>
      <c r="J18" s="154"/>
    </row>
    <row r="19" spans="2:10" x14ac:dyDescent="0.15">
      <c r="B19" s="157" t="s">
        <v>28</v>
      </c>
      <c r="C19" s="157">
        <v>49</v>
      </c>
      <c r="D19" s="157">
        <v>4041.0328</v>
      </c>
      <c r="E19" s="157"/>
      <c r="F19" s="157"/>
      <c r="G19" s="157"/>
      <c r="H19" s="154"/>
      <c r="I19" s="154"/>
      <c r="J19" s="154"/>
    </row>
    <row r="20" spans="2:10" x14ac:dyDescent="0.15">
      <c r="B20" s="154"/>
      <c r="C20" s="154"/>
      <c r="D20" s="154"/>
      <c r="E20" s="154"/>
      <c r="F20" s="154"/>
      <c r="G20" s="154"/>
      <c r="H20" s="154"/>
      <c r="I20" s="154"/>
      <c r="J20" s="154"/>
    </row>
    <row r="21" spans="2:10" x14ac:dyDescent="0.15">
      <c r="B21" s="156"/>
      <c r="C21" s="158" t="s">
        <v>29</v>
      </c>
      <c r="D21" s="158" t="s">
        <v>18</v>
      </c>
      <c r="E21" s="158" t="s">
        <v>30</v>
      </c>
      <c r="F21" s="158" t="s">
        <v>31</v>
      </c>
      <c r="G21" s="158" t="s">
        <v>32</v>
      </c>
      <c r="H21" s="158" t="s">
        <v>33</v>
      </c>
      <c r="I21" s="158" t="s">
        <v>32</v>
      </c>
      <c r="J21" s="158" t="s">
        <v>33</v>
      </c>
    </row>
    <row r="22" spans="2:10" x14ac:dyDescent="0.15">
      <c r="B22" s="154" t="s">
        <v>36</v>
      </c>
      <c r="C22" s="154">
        <v>-35.430890369614602</v>
      </c>
      <c r="D22" s="154">
        <v>24.904025850294101</v>
      </c>
      <c r="E22" s="154">
        <v>-1.4226973013359601</v>
      </c>
      <c r="F22" s="154">
        <v>0.162388349542815</v>
      </c>
      <c r="G22" s="154">
        <v>-85.725590351659307</v>
      </c>
      <c r="H22" s="154">
        <v>14.863809612430099</v>
      </c>
      <c r="I22" s="154">
        <v>-85.725590351659307</v>
      </c>
      <c r="J22" s="154">
        <v>14.863809612430099</v>
      </c>
    </row>
    <row r="23" spans="2:10" x14ac:dyDescent="0.15">
      <c r="B23" s="154" t="s">
        <v>3</v>
      </c>
      <c r="C23" s="154">
        <v>9.04994912733805E-2</v>
      </c>
      <c r="D23" s="154">
        <v>8.8013055478417604E-2</v>
      </c>
      <c r="E23" s="154">
        <v>1.0282507609973</v>
      </c>
      <c r="F23" s="154">
        <v>0.30986010903091299</v>
      </c>
      <c r="G23" s="154">
        <v>-8.7246478249767195E-2</v>
      </c>
      <c r="H23" s="154">
        <v>0.268245460796528</v>
      </c>
      <c r="I23" s="154">
        <v>-8.7246478249767195E-2</v>
      </c>
      <c r="J23" s="154">
        <v>0.268245460796528</v>
      </c>
    </row>
    <row r="24" spans="2:10" x14ac:dyDescent="0.15">
      <c r="B24" s="154" t="s">
        <v>4</v>
      </c>
      <c r="C24" s="154">
        <v>-0.19280834662729801</v>
      </c>
      <c r="D24" s="154">
        <v>7.8315213965353306E-2</v>
      </c>
      <c r="E24" s="154">
        <v>-2.4619526253557402</v>
      </c>
      <c r="F24" s="154">
        <v>1.8112479440624898E-2</v>
      </c>
      <c r="G24" s="154">
        <v>-0.35096912810474601</v>
      </c>
      <c r="H24" s="154">
        <v>-3.4647565149850901E-2</v>
      </c>
      <c r="I24" s="154">
        <v>-0.35096912810474601</v>
      </c>
      <c r="J24" s="154">
        <v>-3.4647565149850901E-2</v>
      </c>
    </row>
    <row r="25" spans="2:10" x14ac:dyDescent="0.15">
      <c r="B25" s="154" t="s">
        <v>5</v>
      </c>
      <c r="C25" s="154">
        <v>-6.4226408287119299E-2</v>
      </c>
      <c r="D25" s="154">
        <v>0.115960259205521</v>
      </c>
      <c r="E25" s="154">
        <v>-0.55386568404687697</v>
      </c>
      <c r="F25" s="154">
        <v>0.58267909398317796</v>
      </c>
      <c r="G25" s="154">
        <v>-0.29841290012747101</v>
      </c>
      <c r="H25" s="154">
        <v>0.169960083553232</v>
      </c>
      <c r="I25" s="154">
        <v>-0.29841290012747101</v>
      </c>
      <c r="J25" s="154">
        <v>0.169960083553232</v>
      </c>
    </row>
    <row r="26" spans="2:10" x14ac:dyDescent="0.15">
      <c r="B26" s="154" t="s">
        <v>6</v>
      </c>
      <c r="C26" s="154">
        <v>-0.33484069535786798</v>
      </c>
      <c r="D26" s="154">
        <v>0.40227354501013302</v>
      </c>
      <c r="E26" s="154">
        <v>-0.83237065800445198</v>
      </c>
      <c r="F26" s="154">
        <v>0.41002205847426898</v>
      </c>
      <c r="G26" s="154">
        <v>-1.14724859192127</v>
      </c>
      <c r="H26" s="154">
        <v>0.47756720120554003</v>
      </c>
      <c r="I26" s="154">
        <v>-1.14724859192127</v>
      </c>
      <c r="J26" s="154">
        <v>0.47756720120554003</v>
      </c>
    </row>
    <row r="27" spans="2:10" x14ac:dyDescent="0.15">
      <c r="B27" s="154" t="s">
        <v>7</v>
      </c>
      <c r="C27" s="154">
        <v>2.3860487810246401E-2</v>
      </c>
      <c r="D27" s="154">
        <v>0.17881571653047701</v>
      </c>
      <c r="E27" s="154">
        <v>0.133436189352962</v>
      </c>
      <c r="F27" s="154">
        <v>0.89450124929993502</v>
      </c>
      <c r="G27" s="154">
        <v>-0.33726517392160799</v>
      </c>
      <c r="H27" s="154">
        <v>0.38498614954210097</v>
      </c>
      <c r="I27" s="154">
        <v>-0.33726517392160799</v>
      </c>
      <c r="J27" s="154">
        <v>0.38498614954210097</v>
      </c>
    </row>
    <row r="28" spans="2:10" x14ac:dyDescent="0.15">
      <c r="B28" s="154" t="s">
        <v>8</v>
      </c>
      <c r="C28" s="154">
        <v>0.91323737057408705</v>
      </c>
      <c r="D28" s="154">
        <v>0.16396954047502099</v>
      </c>
      <c r="E28" s="154">
        <v>5.56955497910422</v>
      </c>
      <c r="F28" s="154">
        <v>1.76848970606563E-6</v>
      </c>
      <c r="G28" s="154">
        <v>0.58209416931180902</v>
      </c>
      <c r="H28" s="154">
        <v>1.2443805718363601</v>
      </c>
      <c r="I28" s="154">
        <v>0.58209416931180902</v>
      </c>
      <c r="J28" s="154">
        <v>1.2443805718363601</v>
      </c>
    </row>
    <row r="29" spans="2:10" x14ac:dyDescent="0.15">
      <c r="B29" s="154" t="s">
        <v>9</v>
      </c>
      <c r="C29" s="154">
        <v>-0.310677795504545</v>
      </c>
      <c r="D29" s="154">
        <v>0.27487900404690602</v>
      </c>
      <c r="E29" s="154">
        <v>-1.13023472484471</v>
      </c>
      <c r="F29" s="154">
        <v>0.26494608445596002</v>
      </c>
      <c r="G29" s="154">
        <v>-0.86580720000358202</v>
      </c>
      <c r="H29" s="154">
        <v>0.244451608994491</v>
      </c>
      <c r="I29" s="154">
        <v>-0.86580720000358202</v>
      </c>
      <c r="J29" s="154">
        <v>0.244451608994491</v>
      </c>
    </row>
    <row r="30" spans="2:10" x14ac:dyDescent="0.15">
      <c r="B30" s="157" t="s">
        <v>10</v>
      </c>
      <c r="C30" s="157">
        <v>0.77865190689635699</v>
      </c>
      <c r="D30" s="157">
        <v>0.290727810003853</v>
      </c>
      <c r="E30" s="157">
        <v>2.6782849115330101</v>
      </c>
      <c r="F30" s="157">
        <v>1.05984419539292E-2</v>
      </c>
      <c r="G30" s="157">
        <v>0.19151518978569801</v>
      </c>
      <c r="H30" s="157">
        <v>1.3657886240070101</v>
      </c>
      <c r="I30" s="157">
        <v>0.19151518978569801</v>
      </c>
      <c r="J30" s="157">
        <v>1.3657886240070101</v>
      </c>
    </row>
    <row r="31" spans="2:10" x14ac:dyDescent="0.15">
      <c r="B31" s="154"/>
      <c r="C31" s="154"/>
      <c r="D31" s="154"/>
      <c r="E31" s="154"/>
      <c r="F31" s="154"/>
      <c r="G31" s="154"/>
      <c r="H31" s="154"/>
      <c r="I31" s="154"/>
      <c r="J31" s="154"/>
    </row>
    <row r="32" spans="2:10" x14ac:dyDescent="0.15">
      <c r="B32" s="104"/>
      <c r="C32" s="104"/>
      <c r="D32" s="104"/>
      <c r="E32" s="104"/>
      <c r="F32" s="104"/>
      <c r="G32" s="104"/>
      <c r="H32" s="104"/>
      <c r="I32" s="104"/>
      <c r="J32" s="104"/>
    </row>
    <row r="33" spans="2:8" x14ac:dyDescent="0.15">
      <c r="B33" s="105"/>
      <c r="C33" s="105"/>
      <c r="D33" s="129" t="s">
        <v>44</v>
      </c>
      <c r="E33" s="105"/>
      <c r="F33" s="105"/>
      <c r="G33" s="105"/>
      <c r="H33" s="105"/>
    </row>
    <row r="34" spans="2:8" x14ac:dyDescent="0.15">
      <c r="B34" s="129"/>
      <c r="C34" s="105"/>
      <c r="D34" s="105"/>
      <c r="E34" s="105"/>
      <c r="F34" s="105"/>
      <c r="G34" s="105"/>
      <c r="H34" s="105"/>
    </row>
    <row r="35" spans="2:8" x14ac:dyDescent="0.15">
      <c r="B35" s="130" t="s">
        <v>45</v>
      </c>
      <c r="C35" s="29"/>
      <c r="D35" s="29"/>
      <c r="E35" s="29"/>
      <c r="F35" s="29"/>
      <c r="G35" s="29"/>
      <c r="H35" s="29"/>
    </row>
    <row r="36" spans="2:8" x14ac:dyDescent="0.15">
      <c r="B36" s="29"/>
      <c r="C36" s="29"/>
      <c r="D36" s="29"/>
      <c r="E36" s="29"/>
      <c r="F36" s="29"/>
      <c r="G36" s="29"/>
      <c r="H36" s="29"/>
    </row>
    <row r="37" spans="2:8" x14ac:dyDescent="0.15">
      <c r="B37" s="29" t="s">
        <v>46</v>
      </c>
      <c r="C37" s="29">
        <f>_xlfn.F.INV.RT(0.05,8,41)</f>
        <v>2.1739894753792686</v>
      </c>
      <c r="D37" s="29"/>
      <c r="E37" s="29"/>
      <c r="F37" s="29"/>
      <c r="G37" s="29"/>
      <c r="H37" s="29"/>
    </row>
    <row r="38" spans="2:8" x14ac:dyDescent="0.15">
      <c r="B38" s="29" t="s">
        <v>47</v>
      </c>
      <c r="C38" s="29">
        <f>$E$17/$E$18</f>
        <v>27.139644101486788</v>
      </c>
      <c r="D38" s="29"/>
      <c r="E38" s="29"/>
      <c r="F38" s="29"/>
      <c r="G38" s="29"/>
      <c r="H38" s="29"/>
    </row>
    <row r="39" spans="2:8" x14ac:dyDescent="0.15">
      <c r="B39" s="29"/>
      <c r="C39" s="29"/>
      <c r="D39" s="29"/>
      <c r="E39" s="29"/>
      <c r="F39" s="29"/>
      <c r="G39" s="29"/>
      <c r="H39" s="29"/>
    </row>
    <row r="40" spans="2:8" x14ac:dyDescent="0.15">
      <c r="B40" s="130" t="s">
        <v>48</v>
      </c>
      <c r="C40" s="29"/>
      <c r="D40" s="29"/>
      <c r="E40" s="29"/>
      <c r="F40" s="29"/>
      <c r="G40" s="29"/>
      <c r="H40" s="29"/>
    </row>
    <row r="41" spans="2:8" x14ac:dyDescent="0.15">
      <c r="B41" s="29"/>
      <c r="C41" s="29"/>
      <c r="D41" s="29"/>
      <c r="E41" s="29"/>
      <c r="F41" s="29"/>
      <c r="G41" s="29"/>
      <c r="H41" s="29"/>
    </row>
    <row r="42" spans="2:8" x14ac:dyDescent="0.15">
      <c r="B42" s="29" t="s">
        <v>49</v>
      </c>
      <c r="C42" s="29"/>
      <c r="D42" s="29"/>
      <c r="E42" s="29"/>
      <c r="F42" s="29"/>
      <c r="G42" s="29"/>
      <c r="H42" s="29"/>
    </row>
    <row r="43" spans="2:8" x14ac:dyDescent="0.15">
      <c r="B43" s="29"/>
      <c r="C43" s="29"/>
      <c r="D43" s="29"/>
      <c r="E43" s="29"/>
      <c r="F43" s="29"/>
      <c r="G43" s="29"/>
      <c r="H43" s="29"/>
    </row>
    <row r="44" spans="2:8" x14ac:dyDescent="0.15">
      <c r="B44" s="130" t="s">
        <v>50</v>
      </c>
      <c r="C44" s="29"/>
      <c r="D44" s="29"/>
      <c r="E44" s="29"/>
      <c r="F44" s="29"/>
      <c r="G44" s="29"/>
      <c r="H44" s="29"/>
    </row>
    <row r="45" spans="2:8" x14ac:dyDescent="0.15">
      <c r="B45" s="130"/>
      <c r="C45" s="29"/>
      <c r="D45" s="29"/>
      <c r="E45" s="29"/>
      <c r="F45" s="29"/>
      <c r="G45" s="29"/>
      <c r="H45" s="29"/>
    </row>
    <row r="46" spans="2:8" x14ac:dyDescent="0.15">
      <c r="B46" s="102" t="s">
        <v>51</v>
      </c>
      <c r="C46" s="29"/>
      <c r="D46" s="29"/>
      <c r="E46" s="29"/>
      <c r="F46" s="29"/>
      <c r="G46" s="29"/>
      <c r="H46" s="29"/>
    </row>
    <row r="47" spans="2:8" x14ac:dyDescent="0.15">
      <c r="B47" s="29" t="s">
        <v>52</v>
      </c>
      <c r="C47" s="29"/>
      <c r="D47" s="29"/>
      <c r="E47" s="29"/>
      <c r="F47" s="29"/>
      <c r="G47" s="29"/>
      <c r="H47" s="2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D4783-796F-4F16-B018-1EA4E8D5DDB3}">
  <dimension ref="B6:E76"/>
  <sheetViews>
    <sheetView showGridLines="0" topLeftCell="A12" workbookViewId="0">
      <selection activeCell="D27" sqref="D27"/>
    </sheetView>
  </sheetViews>
  <sheetFormatPr baseColWidth="10" defaultColWidth="8.83203125" defaultRowHeight="12.75" customHeight="1" x14ac:dyDescent="0.15"/>
  <cols>
    <col min="3" max="3" width="16" customWidth="1"/>
    <col min="4" max="4" width="20.5" customWidth="1"/>
    <col min="5" max="5" width="52.5" customWidth="1"/>
  </cols>
  <sheetData>
    <row r="6" spans="2:5" ht="13" x14ac:dyDescent="0.15"/>
    <row r="7" spans="2:5" ht="13" x14ac:dyDescent="0.15">
      <c r="B7" s="167" t="s">
        <v>53</v>
      </c>
      <c r="C7" s="168">
        <v>0.05</v>
      </c>
    </row>
    <row r="8" spans="2:5" ht="13" x14ac:dyDescent="0.15"/>
    <row r="9" spans="2:5" ht="13" x14ac:dyDescent="0.15">
      <c r="B9" s="160"/>
      <c r="C9" s="160" t="s">
        <v>31</v>
      </c>
      <c r="D9" s="160" t="s">
        <v>54</v>
      </c>
      <c r="E9" s="160" t="s">
        <v>50</v>
      </c>
    </row>
    <row r="10" spans="2:5" ht="13" x14ac:dyDescent="0.15">
      <c r="B10" s="161" t="s">
        <v>36</v>
      </c>
      <c r="C10" s="104">
        <v>0.162388349542815</v>
      </c>
      <c r="D10" s="162" t="s">
        <v>55</v>
      </c>
      <c r="E10" s="104" t="str">
        <f t="shared" ref="E10:E18" si="0">IF(C10&gt;$C$7,"Perhaps Not Significant","Perhaps Significant")</f>
        <v>Perhaps Not Significant</v>
      </c>
    </row>
    <row r="11" spans="2:5" ht="13" x14ac:dyDescent="0.15">
      <c r="B11" s="161" t="s">
        <v>3</v>
      </c>
      <c r="C11" s="104">
        <v>0.30986010903091299</v>
      </c>
      <c r="D11" s="162" t="s">
        <v>55</v>
      </c>
      <c r="E11" s="104" t="str">
        <f t="shared" si="0"/>
        <v>Perhaps Not Significant</v>
      </c>
    </row>
    <row r="12" spans="2:5" ht="13" x14ac:dyDescent="0.15">
      <c r="B12" s="163" t="s">
        <v>4</v>
      </c>
      <c r="C12" s="104">
        <v>1.8112479440624898E-2</v>
      </c>
      <c r="D12" s="162" t="s">
        <v>56</v>
      </c>
      <c r="E12" s="104" t="str">
        <f t="shared" si="0"/>
        <v>Perhaps Significant</v>
      </c>
    </row>
    <row r="13" spans="2:5" ht="13" x14ac:dyDescent="0.15">
      <c r="B13" s="161" t="s">
        <v>5</v>
      </c>
      <c r="C13" s="104">
        <v>0.58267909398317796</v>
      </c>
      <c r="D13" s="162" t="s">
        <v>55</v>
      </c>
      <c r="E13" s="104" t="str">
        <f t="shared" si="0"/>
        <v>Perhaps Not Significant</v>
      </c>
    </row>
    <row r="14" spans="2:5" ht="13" x14ac:dyDescent="0.15">
      <c r="B14" s="161" t="s">
        <v>6</v>
      </c>
      <c r="C14" s="104">
        <v>0.41002205847426898</v>
      </c>
      <c r="D14" s="162" t="s">
        <v>55</v>
      </c>
      <c r="E14" s="104" t="str">
        <f t="shared" si="0"/>
        <v>Perhaps Not Significant</v>
      </c>
    </row>
    <row r="15" spans="2:5" ht="13" x14ac:dyDescent="0.15">
      <c r="B15" s="161" t="s">
        <v>7</v>
      </c>
      <c r="C15" s="104">
        <v>0.89450124929993502</v>
      </c>
      <c r="D15" s="162" t="s">
        <v>55</v>
      </c>
      <c r="E15" s="104" t="str">
        <f t="shared" si="0"/>
        <v>Perhaps Not Significant</v>
      </c>
    </row>
    <row r="16" spans="2:5" ht="13" x14ac:dyDescent="0.15">
      <c r="B16" s="163" t="s">
        <v>8</v>
      </c>
      <c r="C16" s="104">
        <v>1.76848970606563E-6</v>
      </c>
      <c r="D16" s="162" t="s">
        <v>56</v>
      </c>
      <c r="E16" s="104" t="str">
        <f t="shared" si="0"/>
        <v>Perhaps Significant</v>
      </c>
    </row>
    <row r="17" spans="2:5" ht="13" x14ac:dyDescent="0.15">
      <c r="B17" s="161" t="s">
        <v>9</v>
      </c>
      <c r="C17" s="104">
        <v>0.26494608445596002</v>
      </c>
      <c r="D17" s="162" t="s">
        <v>55</v>
      </c>
      <c r="E17" s="104" t="str">
        <f t="shared" si="0"/>
        <v>Perhaps Not Significant</v>
      </c>
    </row>
    <row r="18" spans="2:5" ht="13" x14ac:dyDescent="0.15">
      <c r="B18" s="166" t="s">
        <v>10</v>
      </c>
      <c r="C18" s="164">
        <v>1.05984419539292E-2</v>
      </c>
      <c r="D18" s="165" t="s">
        <v>56</v>
      </c>
      <c r="E18" s="164" t="str">
        <f t="shared" si="0"/>
        <v>Perhaps Significant</v>
      </c>
    </row>
    <row r="19" spans="2:5" ht="13" x14ac:dyDescent="0.15"/>
    <row r="20" spans="2:5" ht="13" x14ac:dyDescent="0.15"/>
    <row r="21" spans="2:5" ht="13" x14ac:dyDescent="0.15"/>
    <row r="22" spans="2:5" ht="13" x14ac:dyDescent="0.15"/>
    <row r="23" spans="2:5" ht="13" x14ac:dyDescent="0.15"/>
    <row r="24" spans="2:5" ht="13" x14ac:dyDescent="0.15"/>
    <row r="25" spans="2:5" ht="13" x14ac:dyDescent="0.15"/>
    <row r="26" spans="2:5" ht="13" x14ac:dyDescent="0.15">
      <c r="B26" s="121" t="s">
        <v>57</v>
      </c>
      <c r="C26" s="122"/>
    </row>
    <row r="27" spans="2:5" ht="12.75" customHeight="1" x14ac:dyDescent="0.15">
      <c r="B27" s="123"/>
      <c r="C27" s="124"/>
    </row>
    <row r="28" spans="2:5" ht="12.75" customHeight="1" x14ac:dyDescent="0.15">
      <c r="B28" s="131" t="s">
        <v>8</v>
      </c>
      <c r="C28" s="125">
        <v>1.76848970606563E-6</v>
      </c>
    </row>
    <row r="29" spans="2:5" ht="12.75" customHeight="1" x14ac:dyDescent="0.15">
      <c r="B29" s="131" t="s">
        <v>10</v>
      </c>
      <c r="C29" s="125">
        <v>1.05984419539292E-2</v>
      </c>
    </row>
    <row r="30" spans="2:5" ht="12.75" customHeight="1" x14ac:dyDescent="0.15">
      <c r="B30" s="132" t="s">
        <v>4</v>
      </c>
      <c r="C30" s="126">
        <v>1.8112479440624898E-2</v>
      </c>
    </row>
    <row r="31" spans="2:5" ht="12.75" customHeight="1" x14ac:dyDescent="0.15">
      <c r="B31" s="107"/>
      <c r="C31" s="107"/>
    </row>
    <row r="32" spans="2:5" ht="12.75" customHeight="1" x14ac:dyDescent="0.15">
      <c r="B32" s="107"/>
      <c r="C32" s="107"/>
    </row>
    <row r="33" spans="2:3" ht="12.75" customHeight="1" x14ac:dyDescent="0.15">
      <c r="B33" s="107"/>
      <c r="C33" s="107"/>
    </row>
    <row r="34" spans="2:3" ht="12.75" customHeight="1" x14ac:dyDescent="0.15">
      <c r="B34" s="107"/>
      <c r="C34" s="107"/>
    </row>
    <row r="35" spans="2:3" ht="12.75" customHeight="1" x14ac:dyDescent="0.15">
      <c r="B35" s="107"/>
      <c r="C35" s="107"/>
    </row>
    <row r="36" spans="2:3" ht="12.75" customHeight="1" x14ac:dyDescent="0.15">
      <c r="B36" s="107"/>
      <c r="C36" s="107"/>
    </row>
    <row r="37" spans="2:3" ht="12.75" customHeight="1" x14ac:dyDescent="0.15">
      <c r="B37" s="107"/>
      <c r="C37" s="107"/>
    </row>
    <row r="38" spans="2:3" ht="12.75" customHeight="1" x14ac:dyDescent="0.15">
      <c r="B38" s="107"/>
      <c r="C38" s="107"/>
    </row>
    <row r="39" spans="2:3" ht="12.75" customHeight="1" x14ac:dyDescent="0.15">
      <c r="B39" s="107"/>
      <c r="C39" s="107"/>
    </row>
    <row r="40" spans="2:3" ht="12.75" customHeight="1" x14ac:dyDescent="0.15">
      <c r="B40" s="107"/>
      <c r="C40" s="107"/>
    </row>
    <row r="41" spans="2:3" ht="12.75" customHeight="1" x14ac:dyDescent="0.15">
      <c r="B41" s="107"/>
      <c r="C41" s="107"/>
    </row>
    <row r="42" spans="2:3" ht="12.75" customHeight="1" x14ac:dyDescent="0.15">
      <c r="B42" s="107"/>
      <c r="C42" s="107"/>
    </row>
    <row r="43" spans="2:3" ht="12.75" customHeight="1" x14ac:dyDescent="0.15">
      <c r="B43" s="107"/>
      <c r="C43" s="107"/>
    </row>
    <row r="44" spans="2:3" ht="12.75" customHeight="1" x14ac:dyDescent="0.15">
      <c r="B44" s="107"/>
      <c r="C44" s="107"/>
    </row>
    <row r="45" spans="2:3" ht="12.75" customHeight="1" x14ac:dyDescent="0.15">
      <c r="B45" s="107"/>
      <c r="C45" s="107"/>
    </row>
    <row r="46" spans="2:3" ht="12.75" customHeight="1" x14ac:dyDescent="0.15">
      <c r="B46" s="107"/>
      <c r="C46" s="107"/>
    </row>
    <row r="47" spans="2:3" ht="12.75" customHeight="1" x14ac:dyDescent="0.15">
      <c r="B47" s="107"/>
      <c r="C47" s="107"/>
    </row>
    <row r="48" spans="2:3" ht="12.75" customHeight="1" x14ac:dyDescent="0.15">
      <c r="B48" s="107"/>
      <c r="C48" s="107"/>
    </row>
    <row r="49" spans="2:3" ht="12.75" customHeight="1" x14ac:dyDescent="0.15">
      <c r="B49" s="107"/>
      <c r="C49" s="107"/>
    </row>
    <row r="50" spans="2:3" ht="12.75" customHeight="1" x14ac:dyDescent="0.15">
      <c r="B50" s="107"/>
      <c r="C50" s="107"/>
    </row>
    <row r="51" spans="2:3" ht="12.75" customHeight="1" x14ac:dyDescent="0.15">
      <c r="B51" s="107"/>
      <c r="C51" s="107"/>
    </row>
    <row r="52" spans="2:3" ht="12.75" customHeight="1" x14ac:dyDescent="0.15">
      <c r="B52" s="107"/>
      <c r="C52" s="107"/>
    </row>
    <row r="53" spans="2:3" ht="12.75" customHeight="1" x14ac:dyDescent="0.15">
      <c r="B53" s="107"/>
      <c r="C53" s="107"/>
    </row>
    <row r="54" spans="2:3" ht="12.75" customHeight="1" x14ac:dyDescent="0.15">
      <c r="B54" s="107"/>
      <c r="C54" s="107"/>
    </row>
    <row r="55" spans="2:3" ht="12.75" customHeight="1" x14ac:dyDescent="0.15">
      <c r="B55" s="107"/>
      <c r="C55" s="107"/>
    </row>
    <row r="56" spans="2:3" ht="12.75" customHeight="1" x14ac:dyDescent="0.15">
      <c r="B56" s="107"/>
      <c r="C56" s="107"/>
    </row>
    <row r="57" spans="2:3" ht="12.75" customHeight="1" x14ac:dyDescent="0.15">
      <c r="B57" s="107"/>
      <c r="C57" s="107"/>
    </row>
    <row r="58" spans="2:3" ht="12.75" customHeight="1" x14ac:dyDescent="0.15">
      <c r="B58" s="107"/>
      <c r="C58" s="107"/>
    </row>
    <row r="59" spans="2:3" ht="12.75" customHeight="1" x14ac:dyDescent="0.15">
      <c r="B59" s="107"/>
      <c r="C59" s="107"/>
    </row>
    <row r="60" spans="2:3" ht="12.75" customHeight="1" x14ac:dyDescent="0.15">
      <c r="B60" s="107"/>
      <c r="C60" s="107"/>
    </row>
    <row r="61" spans="2:3" ht="12.75" customHeight="1" x14ac:dyDescent="0.15">
      <c r="B61" s="107"/>
      <c r="C61" s="107"/>
    </row>
    <row r="62" spans="2:3" ht="12.75" customHeight="1" x14ac:dyDescent="0.15">
      <c r="B62" s="107"/>
      <c r="C62" s="107"/>
    </row>
    <row r="63" spans="2:3" ht="12.75" customHeight="1" x14ac:dyDescent="0.15">
      <c r="B63" s="107"/>
      <c r="C63" s="107"/>
    </row>
    <row r="64" spans="2:3" ht="12.75" customHeight="1" x14ac:dyDescent="0.15">
      <c r="B64" s="107"/>
      <c r="C64" s="107"/>
    </row>
    <row r="65" spans="2:3" ht="12.75" customHeight="1" x14ac:dyDescent="0.15">
      <c r="B65" s="107"/>
      <c r="C65" s="107"/>
    </row>
    <row r="66" spans="2:3" ht="12.75" customHeight="1" x14ac:dyDescent="0.15">
      <c r="B66" s="107"/>
      <c r="C66" s="107"/>
    </row>
    <row r="67" spans="2:3" ht="12.75" customHeight="1" x14ac:dyDescent="0.15">
      <c r="B67" s="107"/>
      <c r="C67" s="107"/>
    </row>
    <row r="68" spans="2:3" ht="12.75" customHeight="1" x14ac:dyDescent="0.15">
      <c r="B68" s="107"/>
      <c r="C68" s="107"/>
    </row>
    <row r="69" spans="2:3" ht="12.75" customHeight="1" x14ac:dyDescent="0.15">
      <c r="B69" s="107"/>
      <c r="C69" s="107"/>
    </row>
    <row r="70" spans="2:3" ht="12.75" customHeight="1" x14ac:dyDescent="0.15">
      <c r="B70" s="107"/>
      <c r="C70" s="107"/>
    </row>
    <row r="71" spans="2:3" ht="12.75" customHeight="1" x14ac:dyDescent="0.15">
      <c r="B71" s="107"/>
      <c r="C71" s="107"/>
    </row>
    <row r="72" spans="2:3" ht="12.75" customHeight="1" x14ac:dyDescent="0.15">
      <c r="B72" s="107"/>
      <c r="C72" s="107"/>
    </row>
    <row r="73" spans="2:3" ht="12.75" customHeight="1" x14ac:dyDescent="0.15">
      <c r="B73" s="107"/>
      <c r="C73" s="107"/>
    </row>
    <row r="74" spans="2:3" ht="12.75" customHeight="1" x14ac:dyDescent="0.15">
      <c r="B74" s="107"/>
      <c r="C74" s="107"/>
    </row>
    <row r="75" spans="2:3" ht="12.75" customHeight="1" x14ac:dyDescent="0.15">
      <c r="B75" s="107"/>
      <c r="C75" s="107"/>
    </row>
    <row r="76" spans="2:3" ht="12.75" customHeight="1" x14ac:dyDescent="0.15">
      <c r="B76" s="107"/>
      <c r="C76" s="107"/>
    </row>
  </sheetData>
  <conditionalFormatting sqref="B16">
    <cfRule type="cellIs" dxfId="95" priority="2" operator="lessThan">
      <formula>0.05</formula>
    </cfRule>
  </conditionalFormatting>
  <conditionalFormatting sqref="C10:C18">
    <cfRule type="cellIs" dxfId="94" priority="14" operator="lessThan">
      <formula>0.05</formula>
    </cfRule>
  </conditionalFormatting>
  <conditionalFormatting sqref="C28:C30">
    <cfRule type="cellIs" dxfId="93" priority="11" operator="lessThan">
      <formula>0.05</formula>
    </cfRule>
  </conditionalFormatting>
  <conditionalFormatting sqref="E10:E18">
    <cfRule type="containsText" dxfId="92" priority="15" operator="containsText" text="Perhaps significant">
      <formula>NOT(ISERROR(SEARCH("Perhaps significant",E10)))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5FE6-3A44-4411-B032-07625397AD2E}">
  <dimension ref="B2:M22"/>
  <sheetViews>
    <sheetView showGridLines="0" topLeftCell="A12" workbookViewId="0">
      <selection activeCell="D4" sqref="D4"/>
    </sheetView>
  </sheetViews>
  <sheetFormatPr baseColWidth="10" defaultColWidth="8.83203125" defaultRowHeight="13" x14ac:dyDescent="0.15"/>
  <cols>
    <col min="2" max="2" width="12.5" customWidth="1"/>
    <col min="13" max="13" width="49.1640625" customWidth="1"/>
  </cols>
  <sheetData>
    <row r="2" spans="2:13" x14ac:dyDescent="0.15">
      <c r="B2" s="108" t="s">
        <v>58</v>
      </c>
      <c r="C2" s="109" t="s">
        <v>59</v>
      </c>
      <c r="D2" s="109"/>
      <c r="E2" s="109"/>
      <c r="F2" s="109"/>
      <c r="G2" s="109"/>
      <c r="H2" s="109"/>
      <c r="I2" s="109"/>
      <c r="J2" s="109"/>
      <c r="K2" s="110"/>
    </row>
    <row r="5" spans="2:13" x14ac:dyDescent="0.15">
      <c r="B5" s="248" t="s">
        <v>13</v>
      </c>
      <c r="C5" s="248"/>
      <c r="D5" s="248"/>
      <c r="E5" s="248"/>
      <c r="F5" s="248"/>
      <c r="G5" s="248"/>
      <c r="H5" s="248"/>
      <c r="I5" s="248"/>
      <c r="J5" s="248"/>
      <c r="K5" s="248"/>
    </row>
    <row r="6" spans="2:13" x14ac:dyDescent="0.15">
      <c r="B6" s="248"/>
      <c r="C6" s="248"/>
      <c r="D6" s="248"/>
      <c r="E6" s="248"/>
      <c r="F6" s="248"/>
      <c r="G6" s="248"/>
      <c r="H6" s="248"/>
      <c r="I6" s="248"/>
      <c r="J6" s="248"/>
      <c r="K6" s="248"/>
    </row>
    <row r="7" spans="2:13" ht="7.5" customHeight="1" x14ac:dyDescent="0.25">
      <c r="B7" s="169"/>
      <c r="C7" s="169"/>
      <c r="D7" s="169"/>
      <c r="E7" s="169"/>
      <c r="F7" s="169"/>
      <c r="G7" s="169"/>
      <c r="H7" s="169"/>
      <c r="I7" s="169"/>
      <c r="J7" s="169"/>
      <c r="K7" s="169"/>
    </row>
    <row r="8" spans="2:13" ht="11.25" customHeight="1" x14ac:dyDescent="0.25">
      <c r="B8" s="169"/>
      <c r="C8" s="169"/>
      <c r="D8" s="169"/>
      <c r="E8" s="169"/>
      <c r="F8" s="169"/>
      <c r="G8" s="169"/>
      <c r="H8" s="169"/>
      <c r="I8" s="169"/>
      <c r="J8" s="169"/>
      <c r="K8" s="169"/>
    </row>
    <row r="9" spans="2:13" ht="21" customHeight="1" x14ac:dyDescent="0.2">
      <c r="B9" s="170"/>
      <c r="C9" s="174" t="s">
        <v>2</v>
      </c>
      <c r="D9" s="174" t="s">
        <v>3</v>
      </c>
      <c r="E9" s="174" t="s">
        <v>4</v>
      </c>
      <c r="F9" s="174" t="s">
        <v>5</v>
      </c>
      <c r="G9" s="174" t="s">
        <v>6</v>
      </c>
      <c r="H9" s="174" t="s">
        <v>7</v>
      </c>
      <c r="I9" s="174" t="s">
        <v>8</v>
      </c>
      <c r="J9" s="174" t="s">
        <v>9</v>
      </c>
      <c r="K9" s="174" t="s">
        <v>10</v>
      </c>
      <c r="M9" s="114"/>
    </row>
    <row r="10" spans="2:13" x14ac:dyDescent="0.15">
      <c r="B10" s="174" t="s">
        <v>2</v>
      </c>
      <c r="C10" s="170">
        <v>1</v>
      </c>
      <c r="D10" s="170"/>
      <c r="E10" s="170"/>
      <c r="F10" s="170"/>
      <c r="G10" s="170"/>
      <c r="H10" s="170"/>
      <c r="I10" s="170"/>
      <c r="J10" s="170"/>
      <c r="K10" s="170"/>
    </row>
    <row r="11" spans="2:13" x14ac:dyDescent="0.15">
      <c r="B11" s="175" t="s">
        <v>3</v>
      </c>
      <c r="C11" s="104">
        <v>0.51738055946582096</v>
      </c>
      <c r="D11" s="104">
        <v>1</v>
      </c>
      <c r="E11" s="104"/>
      <c r="F11" s="104"/>
      <c r="G11" s="104"/>
      <c r="H11" s="104"/>
      <c r="I11" s="104"/>
      <c r="J11" s="104"/>
      <c r="K11" s="104"/>
    </row>
    <row r="12" spans="2:13" x14ac:dyDescent="0.15">
      <c r="B12" s="175" t="s">
        <v>4</v>
      </c>
      <c r="C12" s="104">
        <v>0.61171665947949205</v>
      </c>
      <c r="D12" s="104">
        <v>0.26524004718866301</v>
      </c>
      <c r="E12" s="104">
        <v>1</v>
      </c>
      <c r="F12" s="104"/>
      <c r="G12" s="104"/>
      <c r="H12" s="104"/>
      <c r="I12" s="104"/>
      <c r="J12" s="104"/>
      <c r="K12" s="104"/>
    </row>
    <row r="13" spans="2:13" x14ac:dyDescent="0.15">
      <c r="B13" s="175" t="s">
        <v>5</v>
      </c>
      <c r="C13" s="104">
        <v>-0.26640428304153901</v>
      </c>
      <c r="D13" s="104">
        <v>-0.27630581647114699</v>
      </c>
      <c r="E13" s="104">
        <v>0.10897927458701299</v>
      </c>
      <c r="F13" s="104">
        <v>1</v>
      </c>
      <c r="G13" s="104"/>
      <c r="H13" s="104"/>
      <c r="I13" s="104"/>
      <c r="J13" s="104"/>
      <c r="K13" s="104"/>
    </row>
    <row r="14" spans="2:13" x14ac:dyDescent="0.15">
      <c r="B14" s="175" t="s">
        <v>6</v>
      </c>
      <c r="C14" s="104">
        <v>0.47922723835606101</v>
      </c>
      <c r="D14">
        <v>0.176074798649936</v>
      </c>
      <c r="E14" s="127">
        <v>0.88215753530659102</v>
      </c>
      <c r="F14">
        <v>0.200785952212161</v>
      </c>
      <c r="G14" s="104">
        <v>1</v>
      </c>
      <c r="H14" s="104"/>
      <c r="I14" s="104"/>
      <c r="J14" s="104"/>
      <c r="K14" s="104"/>
    </row>
    <row r="15" spans="2:13" x14ac:dyDescent="0.15">
      <c r="B15" s="175" t="s">
        <v>7</v>
      </c>
      <c r="C15" s="104">
        <v>0.72252239261735196</v>
      </c>
      <c r="D15">
        <v>0.37594617313790102</v>
      </c>
      <c r="E15" s="127">
        <v>0.91233451213921701</v>
      </c>
      <c r="F15">
        <v>1.3555596101937699E-2</v>
      </c>
      <c r="G15" s="127">
        <v>0.82039364345940102</v>
      </c>
      <c r="H15" s="104">
        <v>1</v>
      </c>
      <c r="I15" s="104"/>
      <c r="J15" s="104"/>
      <c r="K15" s="104"/>
    </row>
    <row r="16" spans="2:13" x14ac:dyDescent="0.15">
      <c r="B16" s="175" t="s">
        <v>8</v>
      </c>
      <c r="C16" s="104">
        <v>0.82369612135118897</v>
      </c>
      <c r="D16">
        <v>0.44230421028481798</v>
      </c>
      <c r="E16" s="127">
        <v>0.91459241550644399</v>
      </c>
      <c r="F16">
        <v>-5.2483235247786003E-2</v>
      </c>
      <c r="G16">
        <v>0.78121607764664602</v>
      </c>
      <c r="H16" s="127">
        <v>0.94208906921786295</v>
      </c>
      <c r="I16" s="104">
        <v>1</v>
      </c>
      <c r="J16" s="104"/>
      <c r="K16" s="104"/>
    </row>
    <row r="17" spans="2:13" x14ac:dyDescent="0.15">
      <c r="B17" s="175" t="s">
        <v>9</v>
      </c>
      <c r="C17" s="104">
        <v>0.69262228519011904</v>
      </c>
      <c r="D17">
        <v>0.31379758906180399</v>
      </c>
      <c r="E17" s="127">
        <v>0.95947495407074601</v>
      </c>
      <c r="F17">
        <v>-4.5439569452011899E-2</v>
      </c>
      <c r="G17" s="127">
        <v>0.80379723263360603</v>
      </c>
      <c r="H17" s="127">
        <v>0.91131874621501496</v>
      </c>
      <c r="I17" s="127">
        <v>0.94202147079184995</v>
      </c>
      <c r="J17" s="104">
        <v>1</v>
      </c>
      <c r="K17" s="104"/>
    </row>
    <row r="18" spans="2:13" x14ac:dyDescent="0.15">
      <c r="B18" s="176" t="s">
        <v>10</v>
      </c>
      <c r="C18" s="171">
        <v>0.68222402772230095</v>
      </c>
      <c r="D18" s="172">
        <v>0.218528414823007</v>
      </c>
      <c r="E18" s="173">
        <v>0.93720086803121405</v>
      </c>
      <c r="F18" s="172">
        <v>-3.6565148234552598E-2</v>
      </c>
      <c r="G18" s="173">
        <v>0.82272056553303696</v>
      </c>
      <c r="H18" s="173">
        <v>0.85912205778018202</v>
      </c>
      <c r="I18" s="173">
        <v>0.89029975451398102</v>
      </c>
      <c r="J18" s="173">
        <v>0.93772747690140101</v>
      </c>
      <c r="K18" s="171">
        <v>1</v>
      </c>
    </row>
    <row r="20" spans="2:13" x14ac:dyDescent="0.15">
      <c r="B20" s="111"/>
      <c r="C20" s="104"/>
      <c r="F20" s="104"/>
    </row>
    <row r="21" spans="2:13" x14ac:dyDescent="0.15">
      <c r="B21" s="104"/>
    </row>
    <row r="22" spans="2:13" ht="13.5" customHeight="1" x14ac:dyDescent="0.15">
      <c r="B22" s="104"/>
      <c r="M22" s="113"/>
    </row>
  </sheetData>
  <mergeCells count="1">
    <mergeCell ref="B5:K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021CC-F059-4A97-86A9-5F6DC900FEC5}">
  <dimension ref="A2:BA54"/>
  <sheetViews>
    <sheetView topLeftCell="Q1" zoomScale="59" workbookViewId="0">
      <selection activeCell="AF1" sqref="AF1:AF1048576"/>
    </sheetView>
  </sheetViews>
  <sheetFormatPr baseColWidth="10" defaultColWidth="8.83203125" defaultRowHeight="12.75" customHeight="1" x14ac:dyDescent="0.15"/>
  <cols>
    <col min="1" max="1" width="19.83203125" customWidth="1"/>
    <col min="2" max="2" width="5.5" bestFit="1" customWidth="1"/>
    <col min="3" max="3" width="4.6640625" bestFit="1" customWidth="1"/>
    <col min="4" max="4" width="7.33203125" bestFit="1" customWidth="1"/>
    <col min="5" max="5" width="6.83203125" bestFit="1" customWidth="1"/>
    <col min="6" max="6" width="5.5" bestFit="1" customWidth="1"/>
    <col min="7" max="7" width="6.33203125" bestFit="1" customWidth="1"/>
    <col min="8" max="8" width="9.6640625" bestFit="1" customWidth="1"/>
    <col min="9" max="9" width="5.83203125" bestFit="1" customWidth="1"/>
    <col min="10" max="10" width="6.1640625" bestFit="1" customWidth="1"/>
    <col min="12" max="12" width="19.1640625" bestFit="1" customWidth="1"/>
    <col min="13" max="13" width="12.6640625" bestFit="1" customWidth="1"/>
    <col min="14" max="14" width="14.33203125" customWidth="1"/>
    <col min="15" max="15" width="12.6640625" bestFit="1" customWidth="1"/>
    <col min="16" max="16" width="12.1640625" bestFit="1" customWidth="1"/>
    <col min="17" max="17" width="12.83203125" bestFit="1" customWidth="1"/>
    <col min="18" max="18" width="12.1640625" bestFit="1" customWidth="1"/>
    <col min="19" max="19" width="12.6640625" bestFit="1" customWidth="1"/>
    <col min="20" max="20" width="12.1640625" bestFit="1" customWidth="1"/>
    <col min="21" max="21" width="10.5" customWidth="1"/>
    <col min="23" max="23" width="19.1640625" bestFit="1" customWidth="1"/>
    <col min="24" max="24" width="12.6640625" bestFit="1" customWidth="1"/>
    <col min="25" max="25" width="13.5" bestFit="1" customWidth="1"/>
    <col min="26" max="26" width="12.6640625" bestFit="1" customWidth="1"/>
    <col min="27" max="27" width="12.5" bestFit="1" customWidth="1"/>
    <col min="28" max="28" width="12.83203125" bestFit="1" customWidth="1"/>
    <col min="29" max="31" width="12.6640625" bestFit="1" customWidth="1"/>
    <col min="32" max="32" width="12.6640625" customWidth="1"/>
    <col min="34" max="34" width="19.1640625" bestFit="1" customWidth="1"/>
    <col min="35" max="35" width="12.6640625" bestFit="1" customWidth="1"/>
    <col min="36" max="36" width="13.5" bestFit="1" customWidth="1"/>
    <col min="37" max="37" width="12.6640625" bestFit="1" customWidth="1"/>
    <col min="38" max="38" width="12.1640625" bestFit="1" customWidth="1"/>
    <col min="39" max="39" width="12.83203125" bestFit="1" customWidth="1"/>
    <col min="40" max="42" width="12.6640625" bestFit="1" customWidth="1"/>
    <col min="45" max="45" width="19.1640625" bestFit="1" customWidth="1"/>
    <col min="46" max="46" width="12.6640625" bestFit="1" customWidth="1"/>
    <col min="47" max="47" width="13.5" bestFit="1" customWidth="1"/>
    <col min="48" max="48" width="12.6640625" bestFit="1" customWidth="1"/>
    <col min="49" max="49" width="12.5" bestFit="1" customWidth="1"/>
    <col min="50" max="50" width="12.83203125" bestFit="1" customWidth="1"/>
    <col min="51" max="53" width="12.6640625" bestFit="1" customWidth="1"/>
  </cols>
  <sheetData>
    <row r="2" spans="1:50" ht="16" x14ac:dyDescent="0.2">
      <c r="A2" s="16" t="s">
        <v>0</v>
      </c>
    </row>
    <row r="3" spans="1:50" ht="13" x14ac:dyDescent="0.15">
      <c r="M3" s="106"/>
      <c r="N3" s="106"/>
      <c r="O3" s="106"/>
      <c r="P3" s="106"/>
      <c r="Q3" s="106"/>
      <c r="R3" s="106"/>
      <c r="S3" s="106"/>
      <c r="T3" s="106"/>
    </row>
    <row r="4" spans="1:50" ht="13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9" t="s">
        <v>10</v>
      </c>
      <c r="Q4" s="112"/>
    </row>
    <row r="5" spans="1:50" ht="13" x14ac:dyDescent="0.15">
      <c r="A5" s="1">
        <v>1</v>
      </c>
      <c r="B5" s="2">
        <v>12.6</v>
      </c>
      <c r="C5" s="3">
        <v>23</v>
      </c>
      <c r="D5" s="4">
        <v>154.25</v>
      </c>
      <c r="E5" s="4">
        <v>67.75</v>
      </c>
      <c r="F5" s="2">
        <v>36.200000000000003</v>
      </c>
      <c r="G5" s="2">
        <v>93.1</v>
      </c>
      <c r="H5" s="2">
        <v>85.2</v>
      </c>
      <c r="I5" s="2">
        <v>94.5</v>
      </c>
      <c r="J5" s="5">
        <v>59</v>
      </c>
      <c r="L5" t="s">
        <v>12</v>
      </c>
      <c r="W5" t="s">
        <v>12</v>
      </c>
      <c r="AH5" t="s">
        <v>12</v>
      </c>
      <c r="AS5" t="s">
        <v>12</v>
      </c>
    </row>
    <row r="6" spans="1:50" ht="13" x14ac:dyDescent="0.15">
      <c r="A6" s="6">
        <v>2</v>
      </c>
      <c r="B6" s="7">
        <v>6.9</v>
      </c>
      <c r="C6" s="8">
        <v>22</v>
      </c>
      <c r="D6" s="9">
        <v>173.25</v>
      </c>
      <c r="E6" s="9">
        <v>72.25</v>
      </c>
      <c r="F6" s="7">
        <v>38.5</v>
      </c>
      <c r="G6" s="7">
        <v>93.6</v>
      </c>
      <c r="H6" s="7">
        <v>83</v>
      </c>
      <c r="I6" s="7">
        <v>98.7</v>
      </c>
      <c r="J6" s="10">
        <v>58.7</v>
      </c>
    </row>
    <row r="7" spans="1:50" ht="13" x14ac:dyDescent="0.15">
      <c r="A7" s="6">
        <v>3</v>
      </c>
      <c r="B7" s="7">
        <v>24.6</v>
      </c>
      <c r="C7" s="8">
        <v>22</v>
      </c>
      <c r="D7" s="9">
        <v>154</v>
      </c>
      <c r="E7" s="9">
        <v>66.25</v>
      </c>
      <c r="F7" s="7">
        <v>34</v>
      </c>
      <c r="G7" s="7">
        <v>95.8</v>
      </c>
      <c r="H7" s="7">
        <v>87.9</v>
      </c>
      <c r="I7" s="7">
        <v>99.2</v>
      </c>
      <c r="J7" s="10">
        <v>59.6</v>
      </c>
      <c r="L7" s="249" t="s">
        <v>14</v>
      </c>
      <c r="M7" s="249"/>
      <c r="W7" s="249" t="s">
        <v>14</v>
      </c>
      <c r="X7" s="249"/>
      <c r="AH7" s="249" t="s">
        <v>14</v>
      </c>
      <c r="AI7" s="249"/>
      <c r="AS7" s="249" t="s">
        <v>14</v>
      </c>
      <c r="AT7" s="249"/>
    </row>
    <row r="8" spans="1:50" ht="13" x14ac:dyDescent="0.15">
      <c r="A8" s="6">
        <v>4</v>
      </c>
      <c r="B8" s="7">
        <v>10.9</v>
      </c>
      <c r="C8" s="8">
        <v>26</v>
      </c>
      <c r="D8" s="9">
        <v>184.75</v>
      </c>
      <c r="E8" s="9">
        <v>72.25</v>
      </c>
      <c r="F8" s="7">
        <v>37.4</v>
      </c>
      <c r="G8" s="7">
        <v>101.8</v>
      </c>
      <c r="H8" s="7">
        <v>86.4</v>
      </c>
      <c r="I8" s="7">
        <v>101.2</v>
      </c>
      <c r="J8" s="10">
        <v>60.1</v>
      </c>
      <c r="L8" t="s">
        <v>15</v>
      </c>
      <c r="M8">
        <v>0.51738055946582195</v>
      </c>
      <c r="W8" t="s">
        <v>15</v>
      </c>
      <c r="X8">
        <v>0.61171665947949305</v>
      </c>
      <c r="AH8" t="s">
        <v>15</v>
      </c>
      <c r="AI8">
        <v>0.47922723835606101</v>
      </c>
      <c r="AS8" t="s">
        <v>15</v>
      </c>
      <c r="AT8">
        <v>0.68222402772230195</v>
      </c>
    </row>
    <row r="9" spans="1:50" ht="13" x14ac:dyDescent="0.15">
      <c r="A9" s="6">
        <v>5</v>
      </c>
      <c r="B9" s="7">
        <v>27.8</v>
      </c>
      <c r="C9" s="8">
        <v>24</v>
      </c>
      <c r="D9" s="9">
        <v>184.25</v>
      </c>
      <c r="E9" s="9">
        <v>71.25</v>
      </c>
      <c r="F9" s="7">
        <v>34.4</v>
      </c>
      <c r="G9" s="7">
        <v>97.3</v>
      </c>
      <c r="H9" s="7">
        <v>100</v>
      </c>
      <c r="I9" s="7">
        <v>101.9</v>
      </c>
      <c r="J9" s="10">
        <v>63.2</v>
      </c>
      <c r="L9" t="s">
        <v>16</v>
      </c>
      <c r="M9" s="116">
        <v>0.26768264331316699</v>
      </c>
      <c r="W9" t="s">
        <v>16</v>
      </c>
      <c r="X9" s="116">
        <v>0.37419727148475002</v>
      </c>
      <c r="AH9" t="s">
        <v>16</v>
      </c>
      <c r="AI9" s="116">
        <v>0.22965874598237701</v>
      </c>
      <c r="AS9" t="s">
        <v>16</v>
      </c>
      <c r="AT9" s="116">
        <v>0.46542962400164001</v>
      </c>
    </row>
    <row r="10" spans="1:50" ht="13" x14ac:dyDescent="0.15">
      <c r="A10" s="6">
        <v>6</v>
      </c>
      <c r="B10" s="7">
        <v>20.6</v>
      </c>
      <c r="C10" s="8">
        <v>24</v>
      </c>
      <c r="D10" s="9">
        <v>210.25</v>
      </c>
      <c r="E10" s="9">
        <v>74.75</v>
      </c>
      <c r="F10" s="7">
        <v>39</v>
      </c>
      <c r="G10" s="7">
        <v>104.5</v>
      </c>
      <c r="H10" s="7">
        <v>94.4</v>
      </c>
      <c r="I10" s="7">
        <v>107.8</v>
      </c>
      <c r="J10" s="10">
        <v>66</v>
      </c>
      <c r="L10" t="s">
        <v>17</v>
      </c>
      <c r="M10">
        <v>0.25242603171552402</v>
      </c>
      <c r="W10" t="s">
        <v>17</v>
      </c>
      <c r="X10">
        <v>0.36115971464068197</v>
      </c>
      <c r="AH10" t="s">
        <v>17</v>
      </c>
      <c r="AI10">
        <v>0.21360996985701</v>
      </c>
      <c r="AS10" t="s">
        <v>17</v>
      </c>
      <c r="AT10">
        <v>0.45429274116834101</v>
      </c>
    </row>
    <row r="11" spans="1:50" ht="13" x14ac:dyDescent="0.15">
      <c r="A11" s="6">
        <v>7</v>
      </c>
      <c r="B11" s="7">
        <v>19</v>
      </c>
      <c r="C11" s="8">
        <v>26</v>
      </c>
      <c r="D11" s="9">
        <v>181</v>
      </c>
      <c r="E11" s="9">
        <v>69.75</v>
      </c>
      <c r="F11" s="7">
        <v>36.4</v>
      </c>
      <c r="G11" s="7">
        <v>105.1</v>
      </c>
      <c r="H11" s="7">
        <v>90.7</v>
      </c>
      <c r="I11" s="7">
        <v>100.3</v>
      </c>
      <c r="J11" s="10">
        <v>58.4</v>
      </c>
      <c r="L11" t="s">
        <v>18</v>
      </c>
      <c r="M11">
        <v>7.8519085503419497</v>
      </c>
      <c r="W11" t="s">
        <v>18</v>
      </c>
      <c r="X11">
        <v>7.2584567808000404</v>
      </c>
      <c r="AH11" t="s">
        <v>18</v>
      </c>
      <c r="AI11">
        <v>8.0531751950684303</v>
      </c>
      <c r="AS11" t="s">
        <v>18</v>
      </c>
      <c r="AT11">
        <v>6.7085399916165702</v>
      </c>
    </row>
    <row r="12" spans="1:50" ht="13" x14ac:dyDescent="0.15">
      <c r="A12" s="6">
        <v>8</v>
      </c>
      <c r="B12" s="7">
        <v>12.8</v>
      </c>
      <c r="C12" s="8">
        <v>25</v>
      </c>
      <c r="D12" s="9">
        <v>176</v>
      </c>
      <c r="E12" s="9">
        <v>72.5</v>
      </c>
      <c r="F12" s="7">
        <v>37.799999999999997</v>
      </c>
      <c r="G12" s="7">
        <v>99.6</v>
      </c>
      <c r="H12" s="7">
        <v>88.5</v>
      </c>
      <c r="I12" s="7">
        <v>97.1</v>
      </c>
      <c r="J12" s="10">
        <v>60</v>
      </c>
      <c r="L12" s="118" t="s">
        <v>19</v>
      </c>
      <c r="M12" s="118">
        <v>50</v>
      </c>
      <c r="W12" s="118" t="s">
        <v>19</v>
      </c>
      <c r="X12" s="118">
        <v>50</v>
      </c>
      <c r="AH12" s="118" t="s">
        <v>19</v>
      </c>
      <c r="AI12" s="118">
        <v>50</v>
      </c>
      <c r="AS12" s="118" t="s">
        <v>19</v>
      </c>
      <c r="AT12" s="118">
        <v>50</v>
      </c>
    </row>
    <row r="13" spans="1:50" ht="13" x14ac:dyDescent="0.15">
      <c r="A13" s="6">
        <v>9</v>
      </c>
      <c r="B13" s="7">
        <v>5.0999999999999996</v>
      </c>
      <c r="C13" s="8">
        <v>25</v>
      </c>
      <c r="D13" s="9">
        <v>191</v>
      </c>
      <c r="E13" s="9">
        <v>74</v>
      </c>
      <c r="F13" s="7">
        <v>38.1</v>
      </c>
      <c r="G13" s="7">
        <v>100.9</v>
      </c>
      <c r="H13" s="7">
        <v>82.5</v>
      </c>
      <c r="I13" s="7">
        <v>99.9</v>
      </c>
      <c r="J13" s="10">
        <v>62.9</v>
      </c>
    </row>
    <row r="14" spans="1:50" ht="13" x14ac:dyDescent="0.15">
      <c r="A14" s="6">
        <v>10</v>
      </c>
      <c r="B14" s="7">
        <v>12</v>
      </c>
      <c r="C14" s="8">
        <v>23</v>
      </c>
      <c r="D14" s="9">
        <v>198.25</v>
      </c>
      <c r="E14" s="9">
        <v>73.5</v>
      </c>
      <c r="F14" s="7">
        <v>42.1</v>
      </c>
      <c r="G14" s="7">
        <v>99.6</v>
      </c>
      <c r="H14" s="7">
        <v>88.6</v>
      </c>
      <c r="I14" s="7">
        <v>104.1</v>
      </c>
      <c r="J14" s="10">
        <v>63.1</v>
      </c>
      <c r="L14" t="s">
        <v>20</v>
      </c>
      <c r="W14" t="s">
        <v>20</v>
      </c>
      <c r="AH14" t="s">
        <v>20</v>
      </c>
      <c r="AS14" t="s">
        <v>20</v>
      </c>
    </row>
    <row r="15" spans="1:50" ht="13" x14ac:dyDescent="0.15">
      <c r="A15" s="6">
        <v>11</v>
      </c>
      <c r="B15" s="7">
        <v>7.5</v>
      </c>
      <c r="C15" s="8">
        <v>26</v>
      </c>
      <c r="D15" s="9">
        <v>186.25</v>
      </c>
      <c r="E15" s="9">
        <v>74.5</v>
      </c>
      <c r="F15" s="7">
        <v>38.5</v>
      </c>
      <c r="G15" s="7">
        <v>101.5</v>
      </c>
      <c r="H15" s="7">
        <v>83.6</v>
      </c>
      <c r="I15" s="7">
        <v>98.2</v>
      </c>
      <c r="J15" s="10">
        <v>59.7</v>
      </c>
      <c r="L15" s="178"/>
      <c r="M15" s="178" t="s">
        <v>21</v>
      </c>
      <c r="N15" s="178" t="s">
        <v>22</v>
      </c>
      <c r="O15" s="178" t="s">
        <v>23</v>
      </c>
      <c r="P15" s="178" t="s">
        <v>24</v>
      </c>
      <c r="Q15" s="178" t="s">
        <v>25</v>
      </c>
      <c r="R15" s="91"/>
      <c r="W15" s="178"/>
      <c r="X15" s="178" t="s">
        <v>21</v>
      </c>
      <c r="Y15" s="178" t="s">
        <v>22</v>
      </c>
      <c r="Z15" s="178" t="s">
        <v>23</v>
      </c>
      <c r="AA15" s="178" t="s">
        <v>24</v>
      </c>
      <c r="AB15" s="178" t="s">
        <v>25</v>
      </c>
      <c r="AH15" s="147"/>
      <c r="AI15" s="178" t="s">
        <v>21</v>
      </c>
      <c r="AJ15" s="178" t="s">
        <v>22</v>
      </c>
      <c r="AK15" s="178" t="s">
        <v>23</v>
      </c>
      <c r="AL15" s="178" t="s">
        <v>24</v>
      </c>
      <c r="AM15" s="178" t="s">
        <v>25</v>
      </c>
      <c r="AS15" s="178"/>
      <c r="AT15" s="178" t="s">
        <v>21</v>
      </c>
      <c r="AU15" s="178" t="s">
        <v>22</v>
      </c>
      <c r="AV15" s="178" t="s">
        <v>23</v>
      </c>
      <c r="AW15" s="178" t="s">
        <v>24</v>
      </c>
      <c r="AX15" s="178" t="s">
        <v>25</v>
      </c>
    </row>
    <row r="16" spans="1:50" ht="13" x14ac:dyDescent="0.15">
      <c r="A16" s="6">
        <v>12</v>
      </c>
      <c r="B16" s="7">
        <v>8.5</v>
      </c>
      <c r="C16" s="8">
        <v>27</v>
      </c>
      <c r="D16" s="9">
        <v>216</v>
      </c>
      <c r="E16" s="9">
        <v>76</v>
      </c>
      <c r="F16" s="7">
        <v>39.4</v>
      </c>
      <c r="G16" s="7">
        <v>103.6</v>
      </c>
      <c r="H16" s="7">
        <v>90.9</v>
      </c>
      <c r="I16" s="7">
        <v>107.7</v>
      </c>
      <c r="J16" s="10">
        <v>66.2</v>
      </c>
      <c r="L16" t="s">
        <v>26</v>
      </c>
      <c r="M16">
        <v>1</v>
      </c>
      <c r="N16">
        <v>1081.7143416192</v>
      </c>
      <c r="O16">
        <v>1081.7143416192</v>
      </c>
      <c r="P16">
        <v>17.545353475114499</v>
      </c>
      <c r="Q16">
        <v>1.19341035132558E-4</v>
      </c>
      <c r="W16" t="s">
        <v>26</v>
      </c>
      <c r="X16">
        <v>1</v>
      </c>
      <c r="Y16">
        <v>1512.14344774038</v>
      </c>
      <c r="Z16">
        <v>1512.14344774038</v>
      </c>
      <c r="AA16">
        <v>28.701487246440301</v>
      </c>
      <c r="AB16">
        <v>2.3631579794125502E-6</v>
      </c>
      <c r="AH16" t="s">
        <v>26</v>
      </c>
      <c r="AI16">
        <v>1</v>
      </c>
      <c r="AJ16">
        <v>928.05852532165397</v>
      </c>
      <c r="AK16">
        <v>928.05852532165397</v>
      </c>
      <c r="AL16">
        <v>14.310047332479799</v>
      </c>
      <c r="AM16">
        <v>4.2995515601540398E-4</v>
      </c>
      <c r="AS16" t="s">
        <v>26</v>
      </c>
      <c r="AT16">
        <v>1</v>
      </c>
      <c r="AU16">
        <v>1880.81637668229</v>
      </c>
      <c r="AV16">
        <v>1880.81637668229</v>
      </c>
      <c r="AW16">
        <v>41.791732118255702</v>
      </c>
      <c r="AX16">
        <v>4.8726856771707999E-8</v>
      </c>
    </row>
    <row r="17" spans="1:53" ht="13" x14ac:dyDescent="0.15">
      <c r="A17" s="6">
        <v>13</v>
      </c>
      <c r="B17" s="7">
        <v>20.5</v>
      </c>
      <c r="C17" s="8">
        <v>32</v>
      </c>
      <c r="D17" s="9">
        <v>180.5</v>
      </c>
      <c r="E17" s="9">
        <v>69.5</v>
      </c>
      <c r="F17" s="7">
        <v>38.4</v>
      </c>
      <c r="G17" s="7">
        <v>102</v>
      </c>
      <c r="H17" s="7">
        <v>91.6</v>
      </c>
      <c r="I17" s="7">
        <v>103.9</v>
      </c>
      <c r="J17" s="10">
        <v>63.4</v>
      </c>
      <c r="L17" t="s">
        <v>27</v>
      </c>
      <c r="M17">
        <v>48</v>
      </c>
      <c r="N17">
        <v>2959.3184583807902</v>
      </c>
      <c r="O17">
        <v>61.652467882933102</v>
      </c>
      <c r="W17" t="s">
        <v>27</v>
      </c>
      <c r="X17">
        <v>48</v>
      </c>
      <c r="Y17">
        <v>2528.88935225962</v>
      </c>
      <c r="Z17">
        <v>52.685194838741999</v>
      </c>
      <c r="AH17" t="s">
        <v>27</v>
      </c>
      <c r="AI17">
        <v>48</v>
      </c>
      <c r="AJ17">
        <v>3112.97427467834</v>
      </c>
      <c r="AK17">
        <v>64.853630722465496</v>
      </c>
      <c r="AS17" t="s">
        <v>27</v>
      </c>
      <c r="AT17">
        <v>48</v>
      </c>
      <c r="AU17">
        <v>2160.2164233177</v>
      </c>
      <c r="AV17">
        <v>45.004508819118797</v>
      </c>
    </row>
    <row r="18" spans="1:53" ht="13" x14ac:dyDescent="0.15">
      <c r="A18" s="6">
        <v>14</v>
      </c>
      <c r="B18" s="7">
        <v>20.8</v>
      </c>
      <c r="C18" s="8">
        <v>30</v>
      </c>
      <c r="D18" s="9">
        <v>205.25</v>
      </c>
      <c r="E18" s="9">
        <v>71.25</v>
      </c>
      <c r="F18" s="7">
        <v>39.4</v>
      </c>
      <c r="G18" s="7">
        <v>104.1</v>
      </c>
      <c r="H18" s="7">
        <v>101.8</v>
      </c>
      <c r="I18" s="7">
        <v>108.6</v>
      </c>
      <c r="J18" s="10">
        <v>66</v>
      </c>
      <c r="L18" s="118" t="s">
        <v>28</v>
      </c>
      <c r="M18" s="118">
        <v>49</v>
      </c>
      <c r="N18" s="118">
        <v>4041.0328</v>
      </c>
      <c r="O18" s="118"/>
      <c r="P18" s="118"/>
      <c r="Q18" s="118"/>
      <c r="W18" s="118" t="s">
        <v>28</v>
      </c>
      <c r="X18" s="118">
        <v>49</v>
      </c>
      <c r="Y18" s="118">
        <v>4041.0328</v>
      </c>
      <c r="Z18" s="118"/>
      <c r="AA18" s="118"/>
      <c r="AB18" s="118"/>
      <c r="AH18" s="115" t="s">
        <v>28</v>
      </c>
      <c r="AI18" s="115">
        <v>49</v>
      </c>
      <c r="AJ18" s="115">
        <v>4041.0328</v>
      </c>
      <c r="AK18" s="115"/>
      <c r="AL18" s="115"/>
      <c r="AM18" s="115"/>
      <c r="AS18" s="118" t="s">
        <v>28</v>
      </c>
      <c r="AT18" s="118">
        <v>49</v>
      </c>
      <c r="AU18" s="118">
        <v>4041.0328</v>
      </c>
      <c r="AV18" s="118"/>
      <c r="AW18" s="118"/>
      <c r="AX18" s="118"/>
    </row>
    <row r="19" spans="1:53" ht="13" x14ac:dyDescent="0.15">
      <c r="A19" s="6">
        <v>15</v>
      </c>
      <c r="B19" s="7">
        <v>21.7</v>
      </c>
      <c r="C19" s="8">
        <v>35</v>
      </c>
      <c r="D19" s="9">
        <v>187.75</v>
      </c>
      <c r="E19" s="9">
        <v>69.5</v>
      </c>
      <c r="F19" s="7">
        <v>40.5</v>
      </c>
      <c r="G19" s="7">
        <v>101.3</v>
      </c>
      <c r="H19" s="7">
        <v>96.4</v>
      </c>
      <c r="I19" s="7">
        <v>100.1</v>
      </c>
      <c r="J19" s="10">
        <v>69</v>
      </c>
    </row>
    <row r="20" spans="1:53" ht="13" x14ac:dyDescent="0.15">
      <c r="A20" s="6">
        <v>16</v>
      </c>
      <c r="B20" s="7">
        <v>20.5</v>
      </c>
      <c r="C20" s="8">
        <v>35</v>
      </c>
      <c r="D20" s="9">
        <v>162.75</v>
      </c>
      <c r="E20" s="9">
        <v>66</v>
      </c>
      <c r="F20" s="7">
        <v>36.4</v>
      </c>
      <c r="G20" s="7">
        <v>99.1</v>
      </c>
      <c r="H20" s="7">
        <v>92.8</v>
      </c>
      <c r="I20" s="7">
        <v>99.2</v>
      </c>
      <c r="J20" s="10">
        <v>63.1</v>
      </c>
      <c r="L20" s="117"/>
      <c r="M20" s="178" t="s">
        <v>29</v>
      </c>
      <c r="N20" s="178" t="s">
        <v>18</v>
      </c>
      <c r="O20" s="178" t="s">
        <v>30</v>
      </c>
      <c r="P20" s="178" t="s">
        <v>31</v>
      </c>
      <c r="Q20" s="178" t="s">
        <v>32</v>
      </c>
      <c r="R20" s="178" t="s">
        <v>33</v>
      </c>
      <c r="S20" s="178" t="s">
        <v>32</v>
      </c>
      <c r="T20" s="178" t="s">
        <v>33</v>
      </c>
      <c r="W20" s="117"/>
      <c r="X20" s="178" t="s">
        <v>29</v>
      </c>
      <c r="Y20" s="178" t="s">
        <v>18</v>
      </c>
      <c r="Z20" s="178" t="s">
        <v>30</v>
      </c>
      <c r="AA20" s="178" t="s">
        <v>31</v>
      </c>
      <c r="AB20" s="178" t="s">
        <v>32</v>
      </c>
      <c r="AC20" s="178" t="s">
        <v>33</v>
      </c>
      <c r="AD20" s="178" t="s">
        <v>32</v>
      </c>
      <c r="AE20" s="178" t="s">
        <v>33</v>
      </c>
      <c r="AF20" s="181"/>
      <c r="AH20" s="117"/>
      <c r="AI20" s="178" t="s">
        <v>29</v>
      </c>
      <c r="AJ20" s="178" t="s">
        <v>18</v>
      </c>
      <c r="AK20" s="178" t="s">
        <v>30</v>
      </c>
      <c r="AL20" s="178" t="s">
        <v>31</v>
      </c>
      <c r="AM20" s="178" t="s">
        <v>32</v>
      </c>
      <c r="AN20" s="178" t="s">
        <v>33</v>
      </c>
      <c r="AO20" s="178" t="s">
        <v>32</v>
      </c>
      <c r="AP20" s="178" t="s">
        <v>33</v>
      </c>
      <c r="AS20" s="117"/>
      <c r="AT20" s="178" t="s">
        <v>29</v>
      </c>
      <c r="AU20" s="178" t="s">
        <v>18</v>
      </c>
      <c r="AV20" s="178" t="s">
        <v>30</v>
      </c>
      <c r="AW20" s="178" t="s">
        <v>31</v>
      </c>
      <c r="AX20" s="178" t="s">
        <v>32</v>
      </c>
      <c r="AY20" s="178" t="s">
        <v>33</v>
      </c>
      <c r="AZ20" s="178" t="s">
        <v>32</v>
      </c>
      <c r="BA20" s="178" t="s">
        <v>33</v>
      </c>
    </row>
    <row r="21" spans="1:53" ht="13" x14ac:dyDescent="0.15">
      <c r="A21" s="6">
        <v>17</v>
      </c>
      <c r="B21" s="7">
        <v>28.1</v>
      </c>
      <c r="C21" s="8">
        <v>34</v>
      </c>
      <c r="D21" s="9">
        <v>195.75</v>
      </c>
      <c r="E21" s="9">
        <v>71</v>
      </c>
      <c r="F21" s="7">
        <v>38.9</v>
      </c>
      <c r="G21" s="7">
        <v>101.9</v>
      </c>
      <c r="H21" s="7">
        <v>96.4</v>
      </c>
      <c r="I21" s="7">
        <v>105.2</v>
      </c>
      <c r="J21" s="10">
        <v>64.8</v>
      </c>
      <c r="L21" t="s">
        <v>36</v>
      </c>
      <c r="M21">
        <v>-1.03467371257096</v>
      </c>
      <c r="N21">
        <v>4.6288263704872099</v>
      </c>
      <c r="O21">
        <v>-0.22352830496471099</v>
      </c>
      <c r="P21">
        <v>0.82407297737976903</v>
      </c>
      <c r="Q21">
        <v>-10.3415527349773</v>
      </c>
      <c r="R21">
        <v>8.2722053098354493</v>
      </c>
      <c r="S21">
        <v>-10.3415527349773</v>
      </c>
      <c r="T21">
        <v>8.2722053098354493</v>
      </c>
      <c r="W21" t="s">
        <v>36</v>
      </c>
      <c r="X21">
        <v>-7.4998302627838598</v>
      </c>
      <c r="Y21">
        <v>4.8305161103679302</v>
      </c>
      <c r="Z21">
        <v>-1.5525939861139599</v>
      </c>
      <c r="AA21">
        <v>0.12708938504246101</v>
      </c>
      <c r="AB21">
        <v>-17.212233679256698</v>
      </c>
      <c r="AC21">
        <v>2.2125731536889699</v>
      </c>
      <c r="AD21">
        <v>-17.212233679256698</v>
      </c>
      <c r="AE21">
        <v>2.2125731536889699</v>
      </c>
      <c r="AH21" t="s">
        <v>36</v>
      </c>
      <c r="AI21">
        <v>-32.546688246330604</v>
      </c>
      <c r="AJ21">
        <v>13.354630710405401</v>
      </c>
      <c r="AK21">
        <v>-2.43710881656737</v>
      </c>
      <c r="AL21">
        <v>1.8561959277467101E-2</v>
      </c>
      <c r="AM21">
        <v>-59.397972451569601</v>
      </c>
      <c r="AN21">
        <v>-5.6954040410916003</v>
      </c>
      <c r="AO21">
        <v>-59.397972451569601</v>
      </c>
      <c r="AP21">
        <v>-5.6954040410916003</v>
      </c>
      <c r="AS21" t="s">
        <v>36</v>
      </c>
      <c r="AT21">
        <v>-38.954116520467302</v>
      </c>
      <c r="AU21">
        <v>8.8284128641868893</v>
      </c>
      <c r="AV21">
        <v>-4.4123578178460097</v>
      </c>
      <c r="AW21">
        <v>5.7664710743324298E-5</v>
      </c>
      <c r="AX21">
        <v>-56.704829964962997</v>
      </c>
      <c r="AY21">
        <v>-21.203403075971501</v>
      </c>
      <c r="AZ21">
        <v>-56.704829964962997</v>
      </c>
      <c r="BA21">
        <v>-21.203403075971501</v>
      </c>
    </row>
    <row r="22" spans="1:53" ht="13" x14ac:dyDescent="0.15">
      <c r="A22" s="6">
        <v>18</v>
      </c>
      <c r="B22" s="7">
        <v>22.4</v>
      </c>
      <c r="C22" s="8">
        <v>32</v>
      </c>
      <c r="D22" s="9">
        <v>209.25</v>
      </c>
      <c r="E22" s="9">
        <v>71</v>
      </c>
      <c r="F22" s="7">
        <v>42.1</v>
      </c>
      <c r="G22" s="7">
        <v>107.6</v>
      </c>
      <c r="H22" s="7">
        <v>97.5</v>
      </c>
      <c r="I22" s="7">
        <v>107</v>
      </c>
      <c r="J22" s="10">
        <v>66.900000000000006</v>
      </c>
      <c r="L22" s="119" t="s">
        <v>3</v>
      </c>
      <c r="M22" s="118">
        <v>0.55920005087852098</v>
      </c>
      <c r="N22" s="118">
        <v>0.133501498714344</v>
      </c>
      <c r="O22" s="118">
        <v>4.1887174021547997</v>
      </c>
      <c r="P22" s="118">
        <v>1.19341035564155E-4</v>
      </c>
      <c r="Q22" s="118">
        <v>0.29077730213031799</v>
      </c>
      <c r="R22" s="118">
        <v>0.82762279962672403</v>
      </c>
      <c r="S22" s="118">
        <v>0.29077730213031799</v>
      </c>
      <c r="T22" s="118">
        <v>0.82762279962672403</v>
      </c>
      <c r="W22" s="119" t="s">
        <v>4</v>
      </c>
      <c r="X22" s="118">
        <v>0.137990321092579</v>
      </c>
      <c r="Y22" s="118">
        <v>2.57570679968212E-2</v>
      </c>
      <c r="Z22" s="118">
        <v>5.3573768997934197</v>
      </c>
      <c r="AA22" s="118">
        <v>2.3631579783346402E-6</v>
      </c>
      <c r="AB22" s="118">
        <v>8.6202265842392503E-2</v>
      </c>
      <c r="AC22" s="118">
        <v>0.18977837634276501</v>
      </c>
      <c r="AD22" s="118">
        <v>8.6202265842392503E-2</v>
      </c>
      <c r="AE22" s="118">
        <v>0.18977837634276501</v>
      </c>
      <c r="AH22" s="119" t="s">
        <v>6</v>
      </c>
      <c r="AI22" s="118">
        <v>1.3240395687691999</v>
      </c>
      <c r="AJ22" s="118">
        <v>0.35000998100046099</v>
      </c>
      <c r="AK22" s="118">
        <v>3.7828623200532698</v>
      </c>
      <c r="AL22" s="118">
        <v>4.2995516254494E-4</v>
      </c>
      <c r="AM22" s="118">
        <v>0.62029734793857605</v>
      </c>
      <c r="AN22" s="118">
        <v>2.0277817895998398</v>
      </c>
      <c r="AO22" s="118">
        <v>0.62029734793857605</v>
      </c>
      <c r="AP22" s="118">
        <v>2.0277817895998398</v>
      </c>
      <c r="AS22" s="119" t="s">
        <v>10</v>
      </c>
      <c r="AT22" s="118">
        <v>0.92254603649184397</v>
      </c>
      <c r="AU22" s="118">
        <v>0.14270620649568899</v>
      </c>
      <c r="AV22" s="118">
        <v>6.46465251334189</v>
      </c>
      <c r="AW22" s="120">
        <v>4.8726856757954301E-8</v>
      </c>
      <c r="AX22" s="118">
        <v>0.635615982673012</v>
      </c>
      <c r="AY22" s="118">
        <v>1.20947609031067</v>
      </c>
      <c r="AZ22" s="118">
        <v>0.635615982673012</v>
      </c>
      <c r="BA22" s="118">
        <v>1.20947609031067</v>
      </c>
    </row>
    <row r="23" spans="1:53" ht="13" x14ac:dyDescent="0.15">
      <c r="A23" s="6">
        <v>19</v>
      </c>
      <c r="B23" s="7">
        <v>16.100000000000001</v>
      </c>
      <c r="C23" s="8">
        <v>28</v>
      </c>
      <c r="D23" s="9">
        <v>183.75</v>
      </c>
      <c r="E23" s="9">
        <v>67.75</v>
      </c>
      <c r="F23" s="7">
        <v>38</v>
      </c>
      <c r="G23" s="7">
        <v>106.8</v>
      </c>
      <c r="H23" s="7">
        <v>89.6</v>
      </c>
      <c r="I23" s="7">
        <v>102.4</v>
      </c>
      <c r="J23" s="10">
        <v>64.2</v>
      </c>
    </row>
    <row r="24" spans="1:53" ht="13" x14ac:dyDescent="0.15">
      <c r="A24" s="6">
        <v>20</v>
      </c>
      <c r="B24" s="7">
        <v>16.5</v>
      </c>
      <c r="C24" s="8">
        <v>33</v>
      </c>
      <c r="D24" s="9">
        <v>211.75</v>
      </c>
      <c r="E24" s="9">
        <v>73.5</v>
      </c>
      <c r="F24" s="7">
        <v>40</v>
      </c>
      <c r="G24" s="7">
        <v>106.2</v>
      </c>
      <c r="H24" s="7">
        <v>100.5</v>
      </c>
      <c r="I24" s="7">
        <v>109</v>
      </c>
      <c r="J24" s="10">
        <v>65.8</v>
      </c>
    </row>
    <row r="25" spans="1:53" ht="13" x14ac:dyDescent="0.15">
      <c r="A25" s="6">
        <v>21</v>
      </c>
      <c r="B25" s="7">
        <v>19</v>
      </c>
      <c r="C25" s="8">
        <v>28</v>
      </c>
      <c r="D25" s="9">
        <v>179</v>
      </c>
      <c r="E25" s="9">
        <v>68</v>
      </c>
      <c r="F25" s="7">
        <v>39.1</v>
      </c>
      <c r="G25" s="7">
        <v>103.3</v>
      </c>
      <c r="H25" s="7">
        <v>95.9</v>
      </c>
      <c r="I25" s="7">
        <v>104.9</v>
      </c>
      <c r="J25" s="10">
        <v>63.5</v>
      </c>
      <c r="L25" t="s">
        <v>12</v>
      </c>
      <c r="W25" t="s">
        <v>12</v>
      </c>
      <c r="AH25" t="s">
        <v>12</v>
      </c>
      <c r="AS25" t="s">
        <v>12</v>
      </c>
    </row>
    <row r="26" spans="1:53" ht="13" x14ac:dyDescent="0.15">
      <c r="A26" s="6">
        <v>22</v>
      </c>
      <c r="B26" s="7">
        <v>15.3</v>
      </c>
      <c r="C26" s="8">
        <v>28</v>
      </c>
      <c r="D26" s="9">
        <v>200.5</v>
      </c>
      <c r="E26" s="9">
        <v>69.75</v>
      </c>
      <c r="F26" s="7">
        <v>41.3</v>
      </c>
      <c r="G26" s="7">
        <v>111.4</v>
      </c>
      <c r="H26" s="7">
        <v>98.8</v>
      </c>
      <c r="I26" s="7">
        <v>104.8</v>
      </c>
      <c r="J26" s="10">
        <v>63.4</v>
      </c>
    </row>
    <row r="27" spans="1:53" ht="13" x14ac:dyDescent="0.15">
      <c r="A27" s="6">
        <v>23</v>
      </c>
      <c r="B27" s="7">
        <v>15.7</v>
      </c>
      <c r="C27" s="8">
        <v>31</v>
      </c>
      <c r="D27" s="9">
        <v>140.25</v>
      </c>
      <c r="E27" s="9">
        <v>68.25</v>
      </c>
      <c r="F27" s="7">
        <v>33.9</v>
      </c>
      <c r="G27" s="7">
        <v>86</v>
      </c>
      <c r="H27" s="7">
        <v>76.400000000000006</v>
      </c>
      <c r="I27" s="7">
        <v>94.6</v>
      </c>
      <c r="J27" s="10">
        <v>57.4</v>
      </c>
      <c r="L27" s="178" t="s">
        <v>14</v>
      </c>
      <c r="M27" s="178"/>
      <c r="W27" s="249" t="s">
        <v>14</v>
      </c>
      <c r="X27" s="249"/>
      <c r="AH27" s="249" t="s">
        <v>14</v>
      </c>
      <c r="AI27" s="249"/>
      <c r="AS27" s="249" t="s">
        <v>14</v>
      </c>
      <c r="AT27" s="249"/>
    </row>
    <row r="28" spans="1:53" ht="13" x14ac:dyDescent="0.15">
      <c r="A28" s="6">
        <v>24</v>
      </c>
      <c r="B28" s="7">
        <v>17.600000000000001</v>
      </c>
      <c r="C28" s="8">
        <v>32</v>
      </c>
      <c r="D28" s="9">
        <v>148.75</v>
      </c>
      <c r="E28" s="9">
        <v>70</v>
      </c>
      <c r="F28" s="7">
        <v>35.5</v>
      </c>
      <c r="G28" s="7">
        <v>86.7</v>
      </c>
      <c r="H28" s="7">
        <v>80</v>
      </c>
      <c r="I28" s="7">
        <v>93.4</v>
      </c>
      <c r="J28" s="10">
        <v>54.9</v>
      </c>
      <c r="L28" t="s">
        <v>15</v>
      </c>
      <c r="M28">
        <v>0.26640428304153901</v>
      </c>
      <c r="W28" t="s">
        <v>15</v>
      </c>
      <c r="X28">
        <v>0.69262228519011904</v>
      </c>
      <c r="AH28" t="s">
        <v>15</v>
      </c>
      <c r="AI28">
        <v>0.82369612135118997</v>
      </c>
      <c r="AS28" t="s">
        <v>15</v>
      </c>
      <c r="AT28">
        <v>0.72252239261735196</v>
      </c>
    </row>
    <row r="29" spans="1:53" ht="13" x14ac:dyDescent="0.15">
      <c r="A29" s="6">
        <v>25</v>
      </c>
      <c r="B29" s="7">
        <v>14.2</v>
      </c>
      <c r="C29" s="8">
        <v>28</v>
      </c>
      <c r="D29" s="9">
        <v>151.25</v>
      </c>
      <c r="E29" s="9">
        <v>67.75</v>
      </c>
      <c r="F29" s="7">
        <v>34.5</v>
      </c>
      <c r="G29" s="7">
        <v>90.2</v>
      </c>
      <c r="H29" s="7">
        <v>76.3</v>
      </c>
      <c r="I29" s="7">
        <v>95.8</v>
      </c>
      <c r="J29" s="10">
        <v>58.4</v>
      </c>
      <c r="L29" t="s">
        <v>16</v>
      </c>
      <c r="M29" s="116">
        <v>7.0971242022876496E-2</v>
      </c>
      <c r="W29" t="s">
        <v>16</v>
      </c>
      <c r="X29" s="116">
        <v>0.47972562994198298</v>
      </c>
      <c r="AH29" t="s">
        <v>16</v>
      </c>
      <c r="AI29" s="116">
        <v>0.67847530032899395</v>
      </c>
      <c r="AS29" t="s">
        <v>16</v>
      </c>
      <c r="AT29" s="116">
        <v>0.52203860783350398</v>
      </c>
    </row>
    <row r="30" spans="1:53" ht="13" customHeight="1" x14ac:dyDescent="0.15">
      <c r="A30" s="6">
        <v>26</v>
      </c>
      <c r="B30" s="7">
        <v>4.5999999999999996</v>
      </c>
      <c r="C30" s="8">
        <v>27</v>
      </c>
      <c r="D30" s="9">
        <v>159.25</v>
      </c>
      <c r="E30" s="9">
        <v>71.5</v>
      </c>
      <c r="F30" s="7">
        <v>35.700000000000003</v>
      </c>
      <c r="G30" s="7">
        <v>89.6</v>
      </c>
      <c r="H30" s="7">
        <v>79.7</v>
      </c>
      <c r="I30" s="7">
        <v>96.5</v>
      </c>
      <c r="J30" s="10">
        <v>55</v>
      </c>
      <c r="L30" t="s">
        <v>17</v>
      </c>
      <c r="M30">
        <v>5.1616476231686498E-2</v>
      </c>
      <c r="W30" t="s">
        <v>17</v>
      </c>
      <c r="X30">
        <v>0.46888658056577498</v>
      </c>
      <c r="AH30" t="s">
        <v>17</v>
      </c>
      <c r="AI30" s="64">
        <v>0.67177686908584799</v>
      </c>
      <c r="AS30" t="s">
        <v>17</v>
      </c>
      <c r="AT30">
        <v>0.51208107883003495</v>
      </c>
    </row>
    <row r="31" spans="1:53" ht="13" customHeight="1" x14ac:dyDescent="0.15">
      <c r="A31" s="6">
        <v>27</v>
      </c>
      <c r="B31" s="7">
        <v>8.5</v>
      </c>
      <c r="C31" s="8">
        <v>34</v>
      </c>
      <c r="D31" s="9">
        <v>131.5</v>
      </c>
      <c r="E31" s="9">
        <v>67.5</v>
      </c>
      <c r="F31" s="7">
        <v>36.200000000000003</v>
      </c>
      <c r="G31" s="7">
        <v>88.6</v>
      </c>
      <c r="H31" s="7">
        <v>74.599999999999994</v>
      </c>
      <c r="I31" s="7">
        <v>85.3</v>
      </c>
      <c r="J31" s="10">
        <v>51.7</v>
      </c>
      <c r="L31" t="s">
        <v>18</v>
      </c>
      <c r="M31">
        <v>8.8438251564872594</v>
      </c>
      <c r="W31" t="s">
        <v>18</v>
      </c>
      <c r="X31">
        <v>6.6182289209484697</v>
      </c>
      <c r="AH31" t="s">
        <v>18</v>
      </c>
      <c r="AI31">
        <v>5.2027473859584497</v>
      </c>
      <c r="AS31" t="s">
        <v>18</v>
      </c>
      <c r="AT31">
        <v>6.3433982462058998</v>
      </c>
    </row>
    <row r="32" spans="1:53" ht="13" customHeight="1" x14ac:dyDescent="0.15">
      <c r="A32" s="6">
        <v>28</v>
      </c>
      <c r="B32" s="7">
        <v>22.4</v>
      </c>
      <c r="C32" s="8">
        <v>31</v>
      </c>
      <c r="D32" s="9">
        <v>148</v>
      </c>
      <c r="E32" s="9">
        <v>67.5</v>
      </c>
      <c r="F32" s="7">
        <v>38.799999999999997</v>
      </c>
      <c r="G32" s="7">
        <v>97.4</v>
      </c>
      <c r="H32" s="7">
        <v>88.7</v>
      </c>
      <c r="I32" s="7">
        <v>94.7</v>
      </c>
      <c r="J32" s="10">
        <v>57.5</v>
      </c>
      <c r="L32" s="115" t="s">
        <v>19</v>
      </c>
      <c r="M32" s="115">
        <v>50</v>
      </c>
      <c r="W32" s="118" t="s">
        <v>19</v>
      </c>
      <c r="X32" s="118">
        <v>50</v>
      </c>
      <c r="AH32" s="118" t="s">
        <v>19</v>
      </c>
      <c r="AI32" s="118">
        <v>50</v>
      </c>
      <c r="AS32" s="118" t="s">
        <v>19</v>
      </c>
      <c r="AT32" s="118">
        <v>50</v>
      </c>
    </row>
    <row r="33" spans="1:53" ht="13" customHeight="1" x14ac:dyDescent="0.15">
      <c r="A33" s="6">
        <v>29</v>
      </c>
      <c r="B33" s="7">
        <v>4.7</v>
      </c>
      <c r="C33" s="8">
        <v>27</v>
      </c>
      <c r="D33" s="9">
        <v>133.25</v>
      </c>
      <c r="E33" s="9">
        <v>64.75</v>
      </c>
      <c r="F33" s="7">
        <v>36.4</v>
      </c>
      <c r="G33" s="7">
        <v>93.5</v>
      </c>
      <c r="H33" s="7">
        <v>73.900000000000006</v>
      </c>
      <c r="I33" s="7">
        <v>88.5</v>
      </c>
      <c r="J33" s="10">
        <v>50.1</v>
      </c>
    </row>
    <row r="34" spans="1:53" ht="13" customHeight="1" x14ac:dyDescent="0.15">
      <c r="A34" s="6">
        <v>30</v>
      </c>
      <c r="B34" s="7">
        <v>9.4</v>
      </c>
      <c r="C34" s="8">
        <v>29</v>
      </c>
      <c r="D34" s="9">
        <v>160.75</v>
      </c>
      <c r="E34" s="9">
        <v>69</v>
      </c>
      <c r="F34" s="7">
        <v>36.700000000000003</v>
      </c>
      <c r="G34" s="7">
        <v>97.4</v>
      </c>
      <c r="H34" s="7">
        <v>83.5</v>
      </c>
      <c r="I34" s="7">
        <v>98.7</v>
      </c>
      <c r="J34" s="10">
        <v>58.9</v>
      </c>
      <c r="L34" t="s">
        <v>20</v>
      </c>
      <c r="W34" t="s">
        <v>20</v>
      </c>
      <c r="AH34" t="s">
        <v>20</v>
      </c>
      <c r="AS34" t="s">
        <v>20</v>
      </c>
    </row>
    <row r="35" spans="1:53" ht="13" x14ac:dyDescent="0.15">
      <c r="A35" s="6">
        <v>31</v>
      </c>
      <c r="B35" s="7">
        <v>12.3</v>
      </c>
      <c r="C35" s="8">
        <v>32</v>
      </c>
      <c r="D35" s="9">
        <v>182</v>
      </c>
      <c r="E35" s="9">
        <v>73.75</v>
      </c>
      <c r="F35" s="7">
        <v>38.700000000000003</v>
      </c>
      <c r="G35" s="7">
        <v>100.5</v>
      </c>
      <c r="H35" s="7">
        <v>88.7</v>
      </c>
      <c r="I35" s="7">
        <v>99.8</v>
      </c>
      <c r="J35" s="10">
        <v>57.5</v>
      </c>
      <c r="L35" s="178"/>
      <c r="M35" s="178" t="s">
        <v>21</v>
      </c>
      <c r="N35" s="178" t="s">
        <v>22</v>
      </c>
      <c r="O35" s="178" t="s">
        <v>23</v>
      </c>
      <c r="P35" s="178" t="s">
        <v>24</v>
      </c>
      <c r="Q35" s="178" t="s">
        <v>25</v>
      </c>
      <c r="W35" s="178"/>
      <c r="X35" s="178" t="s">
        <v>21</v>
      </c>
      <c r="Y35" s="178" t="s">
        <v>22</v>
      </c>
      <c r="Z35" s="178" t="s">
        <v>23</v>
      </c>
      <c r="AA35" s="178" t="s">
        <v>24</v>
      </c>
      <c r="AB35" s="178" t="s">
        <v>25</v>
      </c>
      <c r="AH35" s="178"/>
      <c r="AI35" s="178" t="s">
        <v>21</v>
      </c>
      <c r="AJ35" s="178" t="s">
        <v>22</v>
      </c>
      <c r="AK35" s="178" t="s">
        <v>23</v>
      </c>
      <c r="AL35" s="178" t="s">
        <v>24</v>
      </c>
      <c r="AM35" s="178" t="s">
        <v>25</v>
      </c>
      <c r="AS35" s="178"/>
      <c r="AT35" s="178" t="s">
        <v>21</v>
      </c>
      <c r="AU35" s="178" t="s">
        <v>22</v>
      </c>
      <c r="AV35" s="178" t="s">
        <v>23</v>
      </c>
      <c r="AW35" s="178" t="s">
        <v>24</v>
      </c>
      <c r="AX35" s="178" t="s">
        <v>25</v>
      </c>
    </row>
    <row r="36" spans="1:53" ht="13" x14ac:dyDescent="0.15">
      <c r="A36" s="6">
        <v>32</v>
      </c>
      <c r="B36" s="7">
        <v>6.5</v>
      </c>
      <c r="C36" s="8">
        <v>29</v>
      </c>
      <c r="D36" s="9">
        <v>160.25</v>
      </c>
      <c r="E36" s="9">
        <v>71.25</v>
      </c>
      <c r="F36" s="7">
        <v>37.299999999999997</v>
      </c>
      <c r="G36" s="7">
        <v>93.5</v>
      </c>
      <c r="H36" s="7">
        <v>84.5</v>
      </c>
      <c r="I36" s="7">
        <v>100.6</v>
      </c>
      <c r="J36" s="10">
        <v>58.5</v>
      </c>
      <c r="L36" t="s">
        <v>26</v>
      </c>
      <c r="M36">
        <v>1</v>
      </c>
      <c r="N36">
        <v>286.79711687118203</v>
      </c>
      <c r="O36">
        <v>286.79711687118203</v>
      </c>
      <c r="P36">
        <v>3.66686131925095</v>
      </c>
      <c r="Q36">
        <v>6.1474166589940399E-2</v>
      </c>
      <c r="W36" t="s">
        <v>26</v>
      </c>
      <c r="X36">
        <v>1</v>
      </c>
      <c r="Y36">
        <v>1938.58700559621</v>
      </c>
      <c r="Z36">
        <v>1938.58700559621</v>
      </c>
      <c r="AA36">
        <v>44.259013248427898</v>
      </c>
      <c r="AB36">
        <v>2.5070587161834999E-8</v>
      </c>
      <c r="AH36" t="s">
        <v>26</v>
      </c>
      <c r="AI36">
        <v>1</v>
      </c>
      <c r="AJ36">
        <v>2741.7409426193099</v>
      </c>
      <c r="AK36">
        <v>2741.7409426193099</v>
      </c>
      <c r="AL36">
        <v>101.288686216378</v>
      </c>
      <c r="AM36" s="91">
        <v>2.0528023725319099E-13</v>
      </c>
      <c r="AS36" t="s">
        <v>26</v>
      </c>
      <c r="AT36">
        <v>1</v>
      </c>
      <c r="AU36">
        <v>2109.5751371215201</v>
      </c>
      <c r="AV36">
        <v>2109.5751371215201</v>
      </c>
      <c r="AW36">
        <v>52.426521444391803</v>
      </c>
      <c r="AX36" s="91">
        <v>3.14776882337497E-9</v>
      </c>
    </row>
    <row r="37" spans="1:53" ht="13" customHeight="1" x14ac:dyDescent="0.15">
      <c r="A37" s="6">
        <v>33</v>
      </c>
      <c r="B37" s="7">
        <v>13.4</v>
      </c>
      <c r="C37" s="8">
        <v>27</v>
      </c>
      <c r="D37" s="9">
        <v>168</v>
      </c>
      <c r="E37" s="9">
        <v>71.25</v>
      </c>
      <c r="F37" s="7">
        <v>38.1</v>
      </c>
      <c r="G37" s="7">
        <v>93</v>
      </c>
      <c r="H37" s="7">
        <v>79.099999999999994</v>
      </c>
      <c r="I37" s="7">
        <v>94.5</v>
      </c>
      <c r="J37" s="10">
        <v>57.3</v>
      </c>
      <c r="L37" t="s">
        <v>27</v>
      </c>
      <c r="M37">
        <v>48</v>
      </c>
      <c r="N37">
        <v>3754.2356831288098</v>
      </c>
      <c r="O37">
        <v>78.213243398516994</v>
      </c>
      <c r="W37" t="s">
        <v>27</v>
      </c>
      <c r="X37">
        <v>48</v>
      </c>
      <c r="Y37">
        <v>2102.4457944037799</v>
      </c>
      <c r="Z37">
        <v>43.800954050078701</v>
      </c>
      <c r="AH37" t="s">
        <v>27</v>
      </c>
      <c r="AI37">
        <v>48</v>
      </c>
      <c r="AJ37">
        <v>1299.2918573806801</v>
      </c>
      <c r="AK37">
        <v>27.068580362097499</v>
      </c>
      <c r="AS37" t="s">
        <v>27</v>
      </c>
      <c r="AT37">
        <v>48</v>
      </c>
      <c r="AU37">
        <v>1931.45766287847</v>
      </c>
      <c r="AV37">
        <v>40.238701309968199</v>
      </c>
    </row>
    <row r="38" spans="1:53" ht="13" customHeight="1" x14ac:dyDescent="0.15">
      <c r="A38" s="6">
        <v>34</v>
      </c>
      <c r="B38" s="7">
        <v>20.9</v>
      </c>
      <c r="C38" s="8">
        <v>41</v>
      </c>
      <c r="D38" s="9">
        <v>218.5</v>
      </c>
      <c r="E38" s="9">
        <v>71</v>
      </c>
      <c r="F38" s="7">
        <v>39.799999999999997</v>
      </c>
      <c r="G38" s="7">
        <v>111.7</v>
      </c>
      <c r="H38" s="7">
        <v>100.5</v>
      </c>
      <c r="I38" s="7">
        <v>108.3</v>
      </c>
      <c r="J38" s="10">
        <v>67.099999999999994</v>
      </c>
      <c r="L38" s="118" t="s">
        <v>28</v>
      </c>
      <c r="M38" s="118">
        <v>49</v>
      </c>
      <c r="N38" s="118">
        <v>4041.0328</v>
      </c>
      <c r="O38" s="118"/>
      <c r="P38" s="118"/>
      <c r="Q38" s="118"/>
      <c r="W38" s="118" t="s">
        <v>28</v>
      </c>
      <c r="X38" s="118">
        <v>49</v>
      </c>
      <c r="Y38" s="118">
        <v>4041.0328</v>
      </c>
      <c r="Z38" s="118"/>
      <c r="AA38" s="118"/>
      <c r="AB38" s="118"/>
      <c r="AH38" s="118" t="s">
        <v>28</v>
      </c>
      <c r="AI38" s="118">
        <v>49</v>
      </c>
      <c r="AJ38" s="118">
        <v>4041.0328</v>
      </c>
      <c r="AK38" s="118"/>
      <c r="AL38" s="118"/>
      <c r="AM38" s="118"/>
      <c r="AS38" s="118" t="s">
        <v>28</v>
      </c>
      <c r="AT38" s="118">
        <v>49</v>
      </c>
      <c r="AU38" s="118">
        <v>4041.0328</v>
      </c>
      <c r="AV38" s="118"/>
      <c r="AW38" s="118"/>
      <c r="AX38" s="118"/>
    </row>
    <row r="39" spans="1:53" ht="13" customHeight="1" x14ac:dyDescent="0.15">
      <c r="A39" s="6">
        <v>35</v>
      </c>
      <c r="B39" s="7">
        <v>31.1</v>
      </c>
      <c r="C39" s="8">
        <v>41</v>
      </c>
      <c r="D39" s="9">
        <v>247.25</v>
      </c>
      <c r="E39" s="9">
        <v>73.5</v>
      </c>
      <c r="F39" s="7">
        <v>42.1</v>
      </c>
      <c r="G39" s="7">
        <v>117</v>
      </c>
      <c r="H39" s="7">
        <v>115.6</v>
      </c>
      <c r="I39" s="7">
        <v>116.1</v>
      </c>
      <c r="J39" s="10">
        <v>71.2</v>
      </c>
    </row>
    <row r="40" spans="1:53" ht="13" x14ac:dyDescent="0.15">
      <c r="A40" s="6">
        <v>36</v>
      </c>
      <c r="B40" s="7">
        <v>38.200000000000003</v>
      </c>
      <c r="C40" s="8">
        <v>49</v>
      </c>
      <c r="D40" s="9">
        <v>191.75</v>
      </c>
      <c r="E40" s="9">
        <v>65</v>
      </c>
      <c r="F40" s="7">
        <v>38.4</v>
      </c>
      <c r="G40" s="7">
        <v>118.5</v>
      </c>
      <c r="H40" s="7">
        <v>113.1</v>
      </c>
      <c r="I40" s="7">
        <v>113.8</v>
      </c>
      <c r="J40" s="10">
        <v>61.9</v>
      </c>
      <c r="L40" s="117"/>
      <c r="M40" s="178" t="s">
        <v>29</v>
      </c>
      <c r="N40" s="178" t="s">
        <v>18</v>
      </c>
      <c r="O40" s="178" t="s">
        <v>30</v>
      </c>
      <c r="P40" s="178" t="s">
        <v>31</v>
      </c>
      <c r="Q40" s="178" t="s">
        <v>32</v>
      </c>
      <c r="R40" s="178" t="s">
        <v>33</v>
      </c>
      <c r="S40" s="178" t="s">
        <v>32</v>
      </c>
      <c r="T40" s="178" t="s">
        <v>33</v>
      </c>
      <c r="W40" s="178"/>
      <c r="X40" s="178" t="s">
        <v>29</v>
      </c>
      <c r="Y40" s="178" t="s">
        <v>18</v>
      </c>
      <c r="Z40" s="178" t="s">
        <v>30</v>
      </c>
      <c r="AA40" s="178" t="s">
        <v>31</v>
      </c>
      <c r="AB40" s="178" t="s">
        <v>32</v>
      </c>
      <c r="AC40" s="178" t="s">
        <v>33</v>
      </c>
      <c r="AD40" s="178" t="s">
        <v>32</v>
      </c>
      <c r="AE40" s="178" t="s">
        <v>33</v>
      </c>
      <c r="AF40" s="181"/>
      <c r="AH40" s="117"/>
      <c r="AI40" s="178" t="s">
        <v>29</v>
      </c>
      <c r="AJ40" s="178" t="s">
        <v>18</v>
      </c>
      <c r="AK40" s="178" t="s">
        <v>30</v>
      </c>
      <c r="AL40" s="178" t="s">
        <v>31</v>
      </c>
      <c r="AM40" s="178" t="s">
        <v>32</v>
      </c>
      <c r="AN40" s="178" t="s">
        <v>33</v>
      </c>
      <c r="AO40" s="178" t="s">
        <v>32</v>
      </c>
      <c r="AP40" s="178" t="s">
        <v>33</v>
      </c>
      <c r="AS40" s="117"/>
      <c r="AT40" s="178" t="s">
        <v>29</v>
      </c>
      <c r="AU40" s="178" t="s">
        <v>18</v>
      </c>
      <c r="AV40" s="178" t="s">
        <v>30</v>
      </c>
      <c r="AW40" s="178" t="s">
        <v>31</v>
      </c>
      <c r="AX40" s="178" t="s">
        <v>32</v>
      </c>
      <c r="AY40" s="178" t="s">
        <v>33</v>
      </c>
      <c r="AZ40" s="178" t="s">
        <v>32</v>
      </c>
      <c r="BA40" s="178" t="s">
        <v>33</v>
      </c>
    </row>
    <row r="41" spans="1:53" ht="13" x14ac:dyDescent="0.15">
      <c r="A41" s="6">
        <v>37</v>
      </c>
      <c r="B41" s="7">
        <v>23.6</v>
      </c>
      <c r="C41" s="8">
        <v>40</v>
      </c>
      <c r="D41" s="9">
        <v>202.25</v>
      </c>
      <c r="E41" s="9">
        <v>70</v>
      </c>
      <c r="F41" s="7">
        <v>38.5</v>
      </c>
      <c r="G41" s="7">
        <v>106.5</v>
      </c>
      <c r="H41" s="7">
        <v>100.9</v>
      </c>
      <c r="I41" s="7">
        <v>106.2</v>
      </c>
      <c r="J41" s="10">
        <v>63.5</v>
      </c>
      <c r="L41" t="s">
        <v>36</v>
      </c>
      <c r="M41">
        <v>44.265034732992703</v>
      </c>
      <c r="N41">
        <v>13.883264538846699</v>
      </c>
      <c r="O41">
        <v>3.1883736428946401</v>
      </c>
      <c r="P41">
        <v>2.51923942495465E-3</v>
      </c>
      <c r="Q41">
        <v>16.3508609970892</v>
      </c>
      <c r="R41">
        <v>72.179208468896107</v>
      </c>
      <c r="S41">
        <v>16.3508609970892</v>
      </c>
      <c r="T41">
        <v>72.179208468896107</v>
      </c>
      <c r="W41" t="s">
        <v>36</v>
      </c>
      <c r="X41">
        <v>-43.553755652648</v>
      </c>
      <c r="Y41">
        <v>9.2679004294673195</v>
      </c>
      <c r="Z41">
        <v>-4.6994198938703198</v>
      </c>
      <c r="AA41">
        <v>2.2256286306612999E-5</v>
      </c>
      <c r="AB41">
        <v>-62.188118055764498</v>
      </c>
      <c r="AC41">
        <v>-24.919393249531598</v>
      </c>
      <c r="AD41">
        <v>-62.188118055764498</v>
      </c>
      <c r="AE41">
        <v>-24.919393249531598</v>
      </c>
      <c r="AH41" t="s">
        <v>36</v>
      </c>
      <c r="AI41">
        <v>-29.684926876653201</v>
      </c>
      <c r="AJ41">
        <v>4.7740366655922202</v>
      </c>
      <c r="AK41">
        <v>-6.2179930645695496</v>
      </c>
      <c r="AL41" s="91">
        <v>1.1637131592574E-7</v>
      </c>
      <c r="AM41">
        <v>-39.283770760383199</v>
      </c>
      <c r="AN41">
        <v>-20.0860829929231</v>
      </c>
      <c r="AO41">
        <v>-39.283770760383199</v>
      </c>
      <c r="AP41">
        <v>-20.0860829929231</v>
      </c>
      <c r="AS41" t="s">
        <v>36</v>
      </c>
      <c r="AT41">
        <v>-44.726230858509503</v>
      </c>
      <c r="AU41">
        <v>8.6803083186364596</v>
      </c>
      <c r="AV41">
        <v>-5.1526085499155698</v>
      </c>
      <c r="AW41" s="91">
        <v>4.7846979753726404E-6</v>
      </c>
      <c r="AX41">
        <v>-62.179160161242102</v>
      </c>
      <c r="AY41">
        <v>-27.2733015557769</v>
      </c>
      <c r="AZ41">
        <v>-62.179160161242102</v>
      </c>
      <c r="BA41">
        <v>-27.2733015557769</v>
      </c>
    </row>
    <row r="42" spans="1:53" ht="13" customHeight="1" x14ac:dyDescent="0.15">
      <c r="A42" s="6">
        <v>38</v>
      </c>
      <c r="B42" s="7">
        <v>27.5</v>
      </c>
      <c r="C42" s="8">
        <v>50</v>
      </c>
      <c r="D42" s="9">
        <v>196.75</v>
      </c>
      <c r="E42" s="9">
        <v>68.25</v>
      </c>
      <c r="F42" s="7">
        <v>42.1</v>
      </c>
      <c r="G42" s="7">
        <v>105.6</v>
      </c>
      <c r="H42" s="7">
        <v>98.8</v>
      </c>
      <c r="I42" s="7">
        <v>104.8</v>
      </c>
      <c r="J42" s="10">
        <v>66</v>
      </c>
      <c r="L42" s="119" t="s">
        <v>5</v>
      </c>
      <c r="M42" s="118">
        <v>-0.38189866916188098</v>
      </c>
      <c r="N42" s="118">
        <v>0.199434781787202</v>
      </c>
      <c r="O42" s="118">
        <v>-1.9149050418365201</v>
      </c>
      <c r="P42" s="118">
        <v>6.1474176691802697E-2</v>
      </c>
      <c r="Q42" s="118">
        <v>-0.78288916618891602</v>
      </c>
      <c r="R42" s="118">
        <v>1.9091827865154301E-2</v>
      </c>
      <c r="S42" s="118">
        <v>-0.78288916618891602</v>
      </c>
      <c r="T42" s="118">
        <v>1.9091827865154301E-2</v>
      </c>
      <c r="W42" s="119" t="s">
        <v>9</v>
      </c>
      <c r="X42" s="118">
        <v>0.60104798891461497</v>
      </c>
      <c r="Y42" s="118">
        <v>9.0345865929919195E-2</v>
      </c>
      <c r="Z42" s="118">
        <v>6.6527447905678896</v>
      </c>
      <c r="AA42" s="120">
        <v>2.5070587162238501E-8</v>
      </c>
      <c r="AB42" s="118">
        <v>0.419395453890752</v>
      </c>
      <c r="AC42" s="118">
        <v>0.782700523938478</v>
      </c>
      <c r="AD42" s="118">
        <v>0.419395453890752</v>
      </c>
      <c r="AE42" s="118">
        <v>0.782700523938478</v>
      </c>
      <c r="AH42" s="119" t="s">
        <v>8</v>
      </c>
      <c r="AI42" s="118">
        <v>0.51556176017217004</v>
      </c>
      <c r="AJ42" s="118">
        <v>5.1227154002975402E-2</v>
      </c>
      <c r="AK42" s="118">
        <v>10.0642280487068</v>
      </c>
      <c r="AL42" s="120">
        <v>2.05308959436151E-13</v>
      </c>
      <c r="AM42" s="118">
        <v>0.41256266562680799</v>
      </c>
      <c r="AN42" s="118">
        <v>0.61856085471753197</v>
      </c>
      <c r="AO42" s="118">
        <v>0.41256266562680799</v>
      </c>
      <c r="AP42" s="118">
        <v>0.61856085471753197</v>
      </c>
      <c r="AS42" s="119" t="s">
        <v>7</v>
      </c>
      <c r="AT42" s="118">
        <v>0.61816935822432395</v>
      </c>
      <c r="AU42" s="118">
        <v>8.5375242943324797E-2</v>
      </c>
      <c r="AV42" s="118">
        <v>7.2406160956366197</v>
      </c>
      <c r="AW42" s="120">
        <v>3.1477687752787501E-9</v>
      </c>
      <c r="AX42" s="118">
        <v>0.44651093036706002</v>
      </c>
      <c r="AY42" s="118">
        <v>0.78982778608158899</v>
      </c>
      <c r="AZ42" s="118">
        <v>0.44651093036706002</v>
      </c>
      <c r="BA42" s="118">
        <v>0.78982778608158899</v>
      </c>
    </row>
    <row r="43" spans="1:53" ht="13" customHeight="1" x14ac:dyDescent="0.15">
      <c r="A43" s="6">
        <v>39</v>
      </c>
      <c r="B43" s="7">
        <v>33.799999999999997</v>
      </c>
      <c r="C43" s="8">
        <v>46</v>
      </c>
      <c r="D43" s="9">
        <v>363.15</v>
      </c>
      <c r="E43" s="9">
        <v>72.25</v>
      </c>
      <c r="F43" s="7">
        <v>51.2</v>
      </c>
      <c r="G43" s="7">
        <v>136.19999999999999</v>
      </c>
      <c r="H43" s="7">
        <v>148.1</v>
      </c>
      <c r="I43" s="7">
        <v>147.69999999999999</v>
      </c>
      <c r="J43" s="10">
        <v>87.3</v>
      </c>
      <c r="AW43" s="91"/>
    </row>
    <row r="44" spans="1:53" ht="13" x14ac:dyDescent="0.15">
      <c r="A44" s="6">
        <v>40</v>
      </c>
      <c r="B44" s="7">
        <v>31.3</v>
      </c>
      <c r="C44" s="8">
        <v>50</v>
      </c>
      <c r="D44" s="9">
        <v>203</v>
      </c>
      <c r="E44" s="9">
        <v>67</v>
      </c>
      <c r="F44" s="7">
        <v>40.200000000000003</v>
      </c>
      <c r="G44" s="7">
        <v>114.8</v>
      </c>
      <c r="H44" s="7">
        <v>108.1</v>
      </c>
      <c r="I44" s="7">
        <v>102.5</v>
      </c>
      <c r="J44" s="10">
        <v>61.3</v>
      </c>
      <c r="AB44" s="91"/>
    </row>
    <row r="45" spans="1:53" ht="13" x14ac:dyDescent="0.15">
      <c r="A45" s="6">
        <v>41</v>
      </c>
      <c r="B45" s="7">
        <v>33.1</v>
      </c>
      <c r="C45" s="8">
        <v>45</v>
      </c>
      <c r="D45" s="9">
        <v>262.75</v>
      </c>
      <c r="E45" s="9">
        <v>68.75</v>
      </c>
      <c r="F45" s="7">
        <v>43.2</v>
      </c>
      <c r="G45" s="7">
        <v>128.30000000000001</v>
      </c>
      <c r="H45" s="7">
        <v>126.2</v>
      </c>
      <c r="I45" s="7">
        <v>125.6</v>
      </c>
      <c r="J45" s="10">
        <v>72.5</v>
      </c>
    </row>
    <row r="46" spans="1:53" ht="13" x14ac:dyDescent="0.15">
      <c r="A46" s="6">
        <v>42</v>
      </c>
      <c r="B46" s="7">
        <v>31.7</v>
      </c>
      <c r="C46" s="8">
        <v>44</v>
      </c>
      <c r="D46" s="9">
        <v>205</v>
      </c>
      <c r="E46" s="9">
        <v>29.5</v>
      </c>
      <c r="F46" s="7">
        <v>36.6</v>
      </c>
      <c r="G46" s="7">
        <v>106</v>
      </c>
      <c r="H46" s="7">
        <v>104.3</v>
      </c>
      <c r="I46" s="7">
        <v>115.5</v>
      </c>
      <c r="J46" s="10">
        <v>70.599999999999994</v>
      </c>
    </row>
    <row r="47" spans="1:53" ht="13" x14ac:dyDescent="0.15">
      <c r="A47" s="6">
        <v>43</v>
      </c>
      <c r="B47" s="7">
        <v>30.4</v>
      </c>
      <c r="C47" s="8">
        <v>48</v>
      </c>
      <c r="D47" s="9">
        <v>217</v>
      </c>
      <c r="E47" s="9">
        <v>70</v>
      </c>
      <c r="F47" s="7">
        <v>37.299999999999997</v>
      </c>
      <c r="G47" s="7">
        <v>113.3</v>
      </c>
      <c r="H47" s="7">
        <v>111.2</v>
      </c>
      <c r="I47" s="7">
        <v>114.1</v>
      </c>
      <c r="J47" s="10">
        <v>67.7</v>
      </c>
    </row>
    <row r="48" spans="1:53" ht="13" x14ac:dyDescent="0.15">
      <c r="A48" s="6">
        <v>44</v>
      </c>
      <c r="B48" s="7">
        <v>30.8</v>
      </c>
      <c r="C48" s="8">
        <v>41</v>
      </c>
      <c r="D48" s="9">
        <v>212</v>
      </c>
      <c r="E48" s="9">
        <v>71.5</v>
      </c>
      <c r="F48" s="7">
        <v>41.5</v>
      </c>
      <c r="G48" s="7">
        <v>106.6</v>
      </c>
      <c r="H48" s="7">
        <v>104.3</v>
      </c>
      <c r="I48" s="7">
        <v>106</v>
      </c>
      <c r="J48" s="10">
        <v>65</v>
      </c>
    </row>
    <row r="49" spans="1:10" ht="13" x14ac:dyDescent="0.15">
      <c r="A49" s="6">
        <v>45</v>
      </c>
      <c r="B49" s="7">
        <v>8.4</v>
      </c>
      <c r="C49" s="8">
        <v>39</v>
      </c>
      <c r="D49" s="9">
        <v>125.25</v>
      </c>
      <c r="E49" s="9">
        <v>68</v>
      </c>
      <c r="F49" s="7">
        <v>31.5</v>
      </c>
      <c r="G49" s="7">
        <v>85.1</v>
      </c>
      <c r="H49" s="7">
        <v>76</v>
      </c>
      <c r="I49" s="7">
        <v>88.2</v>
      </c>
      <c r="J49" s="10">
        <v>50</v>
      </c>
    </row>
    <row r="50" spans="1:10" ht="13" x14ac:dyDescent="0.15">
      <c r="A50" s="6">
        <v>46</v>
      </c>
      <c r="B50" s="7">
        <v>14.1</v>
      </c>
      <c r="C50" s="8">
        <v>43</v>
      </c>
      <c r="D50" s="9">
        <v>164.25</v>
      </c>
      <c r="E50" s="9">
        <v>73.25</v>
      </c>
      <c r="F50" s="7">
        <v>35.700000000000003</v>
      </c>
      <c r="G50" s="7">
        <v>96.6</v>
      </c>
      <c r="H50" s="7">
        <v>81.5</v>
      </c>
      <c r="I50" s="7">
        <v>97.2</v>
      </c>
      <c r="J50" s="10">
        <v>58.4</v>
      </c>
    </row>
    <row r="51" spans="1:10" ht="13" x14ac:dyDescent="0.15">
      <c r="A51" s="6">
        <v>47</v>
      </c>
      <c r="B51" s="7">
        <v>11.2</v>
      </c>
      <c r="C51" s="8">
        <v>40</v>
      </c>
      <c r="D51" s="9">
        <v>133.5</v>
      </c>
      <c r="E51" s="9">
        <v>67.5</v>
      </c>
      <c r="F51" s="7">
        <v>33.6</v>
      </c>
      <c r="G51" s="7">
        <v>88.2</v>
      </c>
      <c r="H51" s="7">
        <v>73.7</v>
      </c>
      <c r="I51" s="7">
        <v>88.5</v>
      </c>
      <c r="J51" s="10">
        <v>53.3</v>
      </c>
    </row>
    <row r="52" spans="1:10" ht="13" x14ac:dyDescent="0.15">
      <c r="A52" s="6">
        <v>48</v>
      </c>
      <c r="B52" s="7">
        <v>6.4</v>
      </c>
      <c r="C52" s="8">
        <v>39</v>
      </c>
      <c r="D52" s="9">
        <v>148.5</v>
      </c>
      <c r="E52" s="9">
        <v>71.25</v>
      </c>
      <c r="F52" s="7">
        <v>34.6</v>
      </c>
      <c r="G52" s="7">
        <v>89.8</v>
      </c>
      <c r="H52" s="7">
        <v>79.5</v>
      </c>
      <c r="I52" s="7">
        <v>92.7</v>
      </c>
      <c r="J52" s="10">
        <v>52.7</v>
      </c>
    </row>
    <row r="53" spans="1:10" ht="13" x14ac:dyDescent="0.15">
      <c r="A53" s="6">
        <v>49</v>
      </c>
      <c r="B53" s="7">
        <v>13.4</v>
      </c>
      <c r="C53" s="8">
        <v>45</v>
      </c>
      <c r="D53" s="9">
        <v>135.75</v>
      </c>
      <c r="E53" s="9">
        <v>68.5</v>
      </c>
      <c r="F53" s="7">
        <v>32.799999999999997</v>
      </c>
      <c r="G53" s="7">
        <v>92.3</v>
      </c>
      <c r="H53" s="7">
        <v>83.4</v>
      </c>
      <c r="I53" s="7">
        <v>90.4</v>
      </c>
      <c r="J53" s="10">
        <v>52</v>
      </c>
    </row>
    <row r="54" spans="1:10" ht="13" x14ac:dyDescent="0.15">
      <c r="A54" s="11">
        <v>50</v>
      </c>
      <c r="B54" s="12">
        <v>5</v>
      </c>
      <c r="C54" s="13">
        <v>47</v>
      </c>
      <c r="D54" s="14">
        <v>127.5</v>
      </c>
      <c r="E54" s="14">
        <v>66.75</v>
      </c>
      <c r="F54" s="12">
        <v>34</v>
      </c>
      <c r="G54" s="12">
        <v>83.4</v>
      </c>
      <c r="H54" s="12">
        <v>70.400000000000006</v>
      </c>
      <c r="I54" s="12">
        <v>87.2</v>
      </c>
      <c r="J54" s="15">
        <v>50.6</v>
      </c>
    </row>
  </sheetData>
  <mergeCells count="7">
    <mergeCell ref="AS7:AT7"/>
    <mergeCell ref="AS27:AT27"/>
    <mergeCell ref="L7:M7"/>
    <mergeCell ref="W7:X7"/>
    <mergeCell ref="W27:X27"/>
    <mergeCell ref="AH7:AI7"/>
    <mergeCell ref="AH27:AI27"/>
  </mergeCells>
  <conditionalFormatting sqref="Q16">
    <cfRule type="cellIs" dxfId="91" priority="19" operator="greaterThan">
      <formula>0.05</formula>
    </cfRule>
    <cfRule type="cellIs" dxfId="90" priority="20" operator="lessThan">
      <formula>0.05</formula>
    </cfRule>
  </conditionalFormatting>
  <conditionalFormatting sqref="Q36">
    <cfRule type="cellIs" dxfId="89" priority="15" operator="greaterThan">
      <formula>0.05</formula>
    </cfRule>
    <cfRule type="cellIs" dxfId="88" priority="16" operator="lessThan">
      <formula>0.05</formula>
    </cfRule>
  </conditionalFormatting>
  <conditionalFormatting sqref="X22">
    <cfRule type="cellIs" dxfId="87" priority="21" operator="lessThan">
      <formula>0.05</formula>
    </cfRule>
  </conditionalFormatting>
  <conditionalFormatting sqref="AB16">
    <cfRule type="cellIs" dxfId="86" priority="17" operator="greaterThan">
      <formula>0.05</formula>
    </cfRule>
    <cfRule type="cellIs" dxfId="85" priority="18" operator="lessThan">
      <formula>0.05</formula>
    </cfRule>
  </conditionalFormatting>
  <conditionalFormatting sqref="AB36">
    <cfRule type="cellIs" dxfId="84" priority="3" operator="greaterThan">
      <formula>0.05</formula>
    </cfRule>
    <cfRule type="cellIs" dxfId="83" priority="4" operator="lessThan">
      <formula>0.05</formula>
    </cfRule>
  </conditionalFormatting>
  <conditionalFormatting sqref="AC37">
    <cfRule type="cellIs" dxfId="82" priority="13" operator="greaterThan">
      <formula>0.05</formula>
    </cfRule>
    <cfRule type="cellIs" dxfId="81" priority="14" operator="lessThan">
      <formula>0.05</formula>
    </cfRule>
  </conditionalFormatting>
  <conditionalFormatting sqref="AM16">
    <cfRule type="cellIs" dxfId="80" priority="11" operator="greaterThan">
      <formula>0.05</formula>
    </cfRule>
    <cfRule type="cellIs" dxfId="79" priority="12" operator="lessThan">
      <formula>0.05</formula>
    </cfRule>
  </conditionalFormatting>
  <conditionalFormatting sqref="AM36">
    <cfRule type="cellIs" dxfId="78" priority="7" operator="greaterThan">
      <formula>0.05</formula>
    </cfRule>
    <cfRule type="cellIs" dxfId="77" priority="8" operator="lessThan">
      <formula>0.05</formula>
    </cfRule>
  </conditionalFormatting>
  <conditionalFormatting sqref="AX16:AY16">
    <cfRule type="cellIs" dxfId="76" priority="9" operator="greaterThan">
      <formula>0.05</formula>
    </cfRule>
    <cfRule type="cellIs" dxfId="75" priority="10" operator="lessThan">
      <formula>0.05</formula>
    </cfRule>
  </conditionalFormatting>
  <conditionalFormatting sqref="AX36:AY36">
    <cfRule type="cellIs" dxfId="74" priority="5" operator="greaterThan">
      <formula>0.05</formula>
    </cfRule>
    <cfRule type="cellIs" dxfId="73" priority="6" operator="lessThan">
      <formula>0.05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24A0A-3DD0-451A-A0CD-66788769E32A}">
  <dimension ref="A2:BA156"/>
  <sheetViews>
    <sheetView topLeftCell="AG1" workbookViewId="0">
      <selection activeCell="AM38" sqref="AM38"/>
    </sheetView>
  </sheetViews>
  <sheetFormatPr baseColWidth="10" defaultColWidth="8.83203125" defaultRowHeight="13" x14ac:dyDescent="0.15"/>
  <cols>
    <col min="2" max="2" width="14.5" bestFit="1" customWidth="1"/>
    <col min="12" max="12" width="19.1640625" bestFit="1" customWidth="1"/>
    <col min="13" max="13" width="12.6640625" bestFit="1" customWidth="1"/>
    <col min="14" max="14" width="13.5" bestFit="1" customWidth="1"/>
    <col min="15" max="15" width="12.6640625" bestFit="1" customWidth="1"/>
    <col min="16" max="16" width="12.5" bestFit="1" customWidth="1"/>
    <col min="17" max="17" width="12.83203125" bestFit="1" customWidth="1"/>
    <col min="18" max="18" width="12.1640625" bestFit="1" customWidth="1"/>
    <col min="19" max="19" width="12.6640625" bestFit="1" customWidth="1"/>
    <col min="20" max="20" width="12.1640625" bestFit="1" customWidth="1"/>
    <col min="23" max="23" width="19.1640625" bestFit="1" customWidth="1"/>
    <col min="24" max="24" width="12.6640625" bestFit="1" customWidth="1"/>
    <col min="25" max="25" width="13.5" bestFit="1" customWidth="1"/>
    <col min="26" max="26" width="12.6640625" bestFit="1" customWidth="1"/>
    <col min="27" max="27" width="12.5" bestFit="1" customWidth="1"/>
    <col min="28" max="28" width="12.83203125" bestFit="1" customWidth="1"/>
    <col min="29" max="31" width="12.6640625" bestFit="1" customWidth="1"/>
    <col min="34" max="34" width="19.1640625" bestFit="1" customWidth="1"/>
    <col min="35" max="35" width="12.6640625" bestFit="1" customWidth="1"/>
    <col min="36" max="36" width="13.5" bestFit="1" customWidth="1"/>
    <col min="37" max="37" width="12.6640625" bestFit="1" customWidth="1"/>
    <col min="38" max="38" width="12.5" bestFit="1" customWidth="1"/>
    <col min="39" max="39" width="12.83203125" bestFit="1" customWidth="1"/>
    <col min="40" max="42" width="12.6640625" bestFit="1" customWidth="1"/>
    <col min="45" max="45" width="19.1640625" bestFit="1" customWidth="1"/>
    <col min="46" max="46" width="12.6640625" bestFit="1" customWidth="1"/>
    <col min="47" max="47" width="13.5" bestFit="1" customWidth="1"/>
    <col min="48" max="48" width="12.6640625" bestFit="1" customWidth="1"/>
    <col min="49" max="49" width="12.5" bestFit="1" customWidth="1"/>
    <col min="50" max="50" width="13.5" customWidth="1"/>
    <col min="51" max="53" width="12.6640625" bestFit="1" customWidth="1"/>
  </cols>
  <sheetData>
    <row r="2" spans="1:50" ht="16" x14ac:dyDescent="0.2">
      <c r="A2" s="16" t="s">
        <v>0</v>
      </c>
    </row>
    <row r="4" spans="1:50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8" t="s">
        <v>10</v>
      </c>
      <c r="K4" s="106"/>
    </row>
    <row r="5" spans="1:50" x14ac:dyDescent="0.15">
      <c r="A5" s="1">
        <v>1</v>
      </c>
      <c r="B5" s="2">
        <v>12.6</v>
      </c>
      <c r="C5" s="3">
        <v>23</v>
      </c>
      <c r="D5" s="4">
        <v>154.25</v>
      </c>
      <c r="E5" s="4">
        <v>67.75</v>
      </c>
      <c r="F5" s="2">
        <v>36.200000000000003</v>
      </c>
      <c r="G5" s="2">
        <v>93.1</v>
      </c>
      <c r="H5" s="2">
        <v>85.2</v>
      </c>
      <c r="I5" s="2">
        <v>94.5</v>
      </c>
      <c r="J5" s="2">
        <v>59</v>
      </c>
      <c r="K5" s="107"/>
      <c r="L5" t="s">
        <v>12</v>
      </c>
      <c r="W5" t="s">
        <v>12</v>
      </c>
      <c r="AH5" t="s">
        <v>12</v>
      </c>
      <c r="AS5" t="s">
        <v>12</v>
      </c>
    </row>
    <row r="6" spans="1:50" x14ac:dyDescent="0.15">
      <c r="A6" s="6">
        <v>2</v>
      </c>
      <c r="B6" s="7">
        <v>6.9</v>
      </c>
      <c r="C6" s="8">
        <v>22</v>
      </c>
      <c r="D6" s="9">
        <v>173.25</v>
      </c>
      <c r="E6" s="9">
        <v>72.25</v>
      </c>
      <c r="F6" s="7">
        <v>38.5</v>
      </c>
      <c r="G6" s="7">
        <v>93.6</v>
      </c>
      <c r="H6" s="7">
        <v>83</v>
      </c>
      <c r="I6" s="7">
        <v>98.7</v>
      </c>
      <c r="J6" s="7">
        <v>58.7</v>
      </c>
      <c r="K6" s="107"/>
    </row>
    <row r="7" spans="1:50" x14ac:dyDescent="0.15">
      <c r="A7" s="6">
        <v>3</v>
      </c>
      <c r="B7" s="7">
        <v>24.6</v>
      </c>
      <c r="C7" s="8">
        <v>22</v>
      </c>
      <c r="D7" s="9">
        <v>154</v>
      </c>
      <c r="E7" s="9">
        <v>66.25</v>
      </c>
      <c r="F7" s="7">
        <v>34</v>
      </c>
      <c r="G7" s="7">
        <v>95.8</v>
      </c>
      <c r="H7" s="7">
        <v>87.9</v>
      </c>
      <c r="I7" s="7">
        <v>99.2</v>
      </c>
      <c r="J7" s="7">
        <v>59.6</v>
      </c>
      <c r="K7" s="107"/>
      <c r="L7" s="249" t="s">
        <v>14</v>
      </c>
      <c r="M7" s="249"/>
      <c r="W7" s="249" t="s">
        <v>14</v>
      </c>
      <c r="X7" s="249"/>
      <c r="AH7" s="249" t="s">
        <v>14</v>
      </c>
      <c r="AI7" s="249"/>
      <c r="AS7" s="249" t="s">
        <v>14</v>
      </c>
      <c r="AT7" s="249"/>
    </row>
    <row r="8" spans="1:50" x14ac:dyDescent="0.15">
      <c r="A8" s="6">
        <v>4</v>
      </c>
      <c r="B8" s="7">
        <v>10.9</v>
      </c>
      <c r="C8" s="8">
        <v>26</v>
      </c>
      <c r="D8" s="9">
        <v>184.75</v>
      </c>
      <c r="E8" s="9">
        <v>72.25</v>
      </c>
      <c r="F8" s="7">
        <v>37.4</v>
      </c>
      <c r="G8" s="7">
        <v>101.8</v>
      </c>
      <c r="H8" s="7">
        <v>86.4</v>
      </c>
      <c r="I8" s="7">
        <v>101.2</v>
      </c>
      <c r="J8" s="7">
        <v>60.1</v>
      </c>
      <c r="K8" s="107"/>
      <c r="L8" t="s">
        <v>15</v>
      </c>
      <c r="M8">
        <v>0.86030654705839105</v>
      </c>
      <c r="W8" t="s">
        <v>15</v>
      </c>
      <c r="X8">
        <v>0.83130841510608899</v>
      </c>
      <c r="AH8" t="s">
        <v>15</v>
      </c>
      <c r="AI8">
        <v>0.85347497086108604</v>
      </c>
      <c r="AS8" t="s">
        <v>15</v>
      </c>
      <c r="AT8">
        <v>0.895066685039691</v>
      </c>
    </row>
    <row r="9" spans="1:50" x14ac:dyDescent="0.15">
      <c r="A9" s="6">
        <v>5</v>
      </c>
      <c r="B9" s="7">
        <v>27.8</v>
      </c>
      <c r="C9" s="8">
        <v>24</v>
      </c>
      <c r="D9" s="9">
        <v>184.25</v>
      </c>
      <c r="E9" s="9">
        <v>71.25</v>
      </c>
      <c r="F9" s="7">
        <v>34.4</v>
      </c>
      <c r="G9" s="7">
        <v>97.3</v>
      </c>
      <c r="H9" s="7">
        <v>100</v>
      </c>
      <c r="I9" s="7">
        <v>101.9</v>
      </c>
      <c r="J9" s="7">
        <v>63.2</v>
      </c>
      <c r="K9" s="107"/>
      <c r="L9" t="s">
        <v>16</v>
      </c>
      <c r="M9">
        <v>0.74012735491153303</v>
      </c>
      <c r="W9" t="s">
        <v>16</v>
      </c>
      <c r="X9">
        <v>0.69107368102619904</v>
      </c>
      <c r="AH9" t="s">
        <v>16</v>
      </c>
      <c r="AI9">
        <v>0.72841952588633196</v>
      </c>
      <c r="AS9" t="s">
        <v>16</v>
      </c>
      <c r="AT9" s="64">
        <v>0.80114437066794197</v>
      </c>
    </row>
    <row r="10" spans="1:50" x14ac:dyDescent="0.15">
      <c r="A10" s="6">
        <v>6</v>
      </c>
      <c r="B10" s="7">
        <v>20.6</v>
      </c>
      <c r="C10" s="8">
        <v>24</v>
      </c>
      <c r="D10" s="9">
        <v>210.25</v>
      </c>
      <c r="E10" s="9">
        <v>74.75</v>
      </c>
      <c r="F10" s="7">
        <v>39</v>
      </c>
      <c r="G10" s="7">
        <v>104.5</v>
      </c>
      <c r="H10" s="7">
        <v>94.4</v>
      </c>
      <c r="I10" s="7">
        <v>107.8</v>
      </c>
      <c r="J10" s="7">
        <v>66</v>
      </c>
      <c r="K10" s="107"/>
      <c r="L10" t="s">
        <v>17</v>
      </c>
      <c r="M10" s="116">
        <v>0.72906894448223603</v>
      </c>
      <c r="W10" t="s">
        <v>17</v>
      </c>
      <c r="X10" s="116">
        <v>0.67792788021880301</v>
      </c>
      <c r="AH10" t="s">
        <v>17</v>
      </c>
      <c r="AI10" s="116">
        <v>0.71686290996660196</v>
      </c>
      <c r="AS10" t="s">
        <v>17</v>
      </c>
      <c r="AT10" s="116">
        <v>0.79268242899423802</v>
      </c>
    </row>
    <row r="11" spans="1:50" x14ac:dyDescent="0.15">
      <c r="A11" s="6">
        <v>7</v>
      </c>
      <c r="B11" s="7">
        <v>19</v>
      </c>
      <c r="C11" s="8">
        <v>26</v>
      </c>
      <c r="D11" s="9">
        <v>181</v>
      </c>
      <c r="E11" s="9">
        <v>69.75</v>
      </c>
      <c r="F11" s="7">
        <v>36.4</v>
      </c>
      <c r="G11" s="7">
        <v>105.1</v>
      </c>
      <c r="H11" s="7">
        <v>90.7</v>
      </c>
      <c r="I11" s="7">
        <v>100.3</v>
      </c>
      <c r="J11" s="7">
        <v>58.4</v>
      </c>
      <c r="K11" s="107"/>
      <c r="L11" t="s">
        <v>18</v>
      </c>
      <c r="M11">
        <v>4.7269122723321697</v>
      </c>
      <c r="W11" t="s">
        <v>18</v>
      </c>
      <c r="X11">
        <v>5.1537662075880402</v>
      </c>
      <c r="AH11" t="s">
        <v>18</v>
      </c>
      <c r="AI11">
        <v>4.8322181236277597</v>
      </c>
      <c r="AS11" t="s">
        <v>18</v>
      </c>
      <c r="AT11">
        <v>4.1349113566754303</v>
      </c>
    </row>
    <row r="12" spans="1:50" x14ac:dyDescent="0.15">
      <c r="A12" s="6">
        <v>8</v>
      </c>
      <c r="B12" s="7">
        <v>12.8</v>
      </c>
      <c r="C12" s="8">
        <v>25</v>
      </c>
      <c r="D12" s="9">
        <v>176</v>
      </c>
      <c r="E12" s="9">
        <v>72.5</v>
      </c>
      <c r="F12" s="7">
        <v>37.799999999999997</v>
      </c>
      <c r="G12" s="7">
        <v>99.6</v>
      </c>
      <c r="H12" s="7">
        <v>88.5</v>
      </c>
      <c r="I12" s="7">
        <v>97.1</v>
      </c>
      <c r="J12" s="7">
        <v>60</v>
      </c>
      <c r="K12" s="107"/>
      <c r="L12" s="118" t="s">
        <v>19</v>
      </c>
      <c r="M12" s="118">
        <v>50</v>
      </c>
      <c r="W12" s="118" t="s">
        <v>19</v>
      </c>
      <c r="X12" s="118">
        <v>50</v>
      </c>
      <c r="AH12" s="118" t="s">
        <v>19</v>
      </c>
      <c r="AI12" s="118">
        <v>50</v>
      </c>
      <c r="AS12" s="118" t="s">
        <v>19</v>
      </c>
      <c r="AT12" s="118">
        <v>50</v>
      </c>
    </row>
    <row r="13" spans="1:50" x14ac:dyDescent="0.15">
      <c r="A13" s="6">
        <v>9</v>
      </c>
      <c r="B13" s="7">
        <v>5.0999999999999996</v>
      </c>
      <c r="C13" s="8">
        <v>25</v>
      </c>
      <c r="D13" s="9">
        <v>191</v>
      </c>
      <c r="E13" s="9">
        <v>74</v>
      </c>
      <c r="F13" s="7">
        <v>38.1</v>
      </c>
      <c r="G13" s="7">
        <v>100.9</v>
      </c>
      <c r="H13" s="7">
        <v>82.5</v>
      </c>
      <c r="I13" s="7">
        <v>99.9</v>
      </c>
      <c r="J13" s="7">
        <v>62.9</v>
      </c>
      <c r="K13" s="107"/>
    </row>
    <row r="14" spans="1:50" x14ac:dyDescent="0.15">
      <c r="A14" s="6"/>
      <c r="B14" s="7"/>
      <c r="C14" s="8"/>
      <c r="D14" s="9"/>
      <c r="E14" s="9">
        <v>73.5</v>
      </c>
      <c r="F14" s="7">
        <v>42.1</v>
      </c>
      <c r="G14" s="7">
        <v>99.6</v>
      </c>
      <c r="H14" s="7">
        <v>88.6</v>
      </c>
      <c r="I14" s="7">
        <v>104.1</v>
      </c>
      <c r="J14" s="7">
        <v>63.1</v>
      </c>
      <c r="K14" s="107"/>
      <c r="L14" t="s">
        <v>20</v>
      </c>
      <c r="W14" t="s">
        <v>20</v>
      </c>
      <c r="AH14" t="s">
        <v>20</v>
      </c>
      <c r="AS14" t="s">
        <v>20</v>
      </c>
    </row>
    <row r="15" spans="1:50" x14ac:dyDescent="0.15">
      <c r="A15" s="6">
        <v>10</v>
      </c>
      <c r="B15" s="7">
        <v>12</v>
      </c>
      <c r="C15" s="8">
        <v>23</v>
      </c>
      <c r="D15" s="9">
        <v>198.25</v>
      </c>
      <c r="E15" s="9">
        <v>74.5</v>
      </c>
      <c r="F15" s="7">
        <v>38.5</v>
      </c>
      <c r="G15" s="7">
        <v>101.5</v>
      </c>
      <c r="H15" s="7">
        <v>83.6</v>
      </c>
      <c r="I15" s="7">
        <v>98.2</v>
      </c>
      <c r="J15" s="7">
        <v>59.7</v>
      </c>
      <c r="K15" s="107"/>
      <c r="L15" s="178"/>
      <c r="M15" s="178" t="s">
        <v>21</v>
      </c>
      <c r="N15" s="178" t="s">
        <v>22</v>
      </c>
      <c r="O15" s="178" t="s">
        <v>23</v>
      </c>
      <c r="P15" s="178" t="s">
        <v>24</v>
      </c>
      <c r="Q15" s="178" t="s">
        <v>25</v>
      </c>
      <c r="W15" s="178"/>
      <c r="X15" s="178" t="s">
        <v>21</v>
      </c>
      <c r="Y15" s="178" t="s">
        <v>22</v>
      </c>
      <c r="Z15" s="178" t="s">
        <v>23</v>
      </c>
      <c r="AA15" s="178" t="s">
        <v>24</v>
      </c>
      <c r="AB15" s="178" t="s">
        <v>25</v>
      </c>
      <c r="AH15" s="178"/>
      <c r="AI15" s="178" t="s">
        <v>21</v>
      </c>
      <c r="AJ15" s="178" t="s">
        <v>22</v>
      </c>
      <c r="AK15" s="178" t="s">
        <v>23</v>
      </c>
      <c r="AL15" s="178" t="s">
        <v>24</v>
      </c>
      <c r="AM15" s="178" t="s">
        <v>25</v>
      </c>
      <c r="AS15" s="178"/>
      <c r="AT15" s="178" t="s">
        <v>21</v>
      </c>
      <c r="AU15" s="178" t="s">
        <v>22</v>
      </c>
      <c r="AV15" s="178" t="s">
        <v>23</v>
      </c>
      <c r="AW15" s="178" t="s">
        <v>24</v>
      </c>
      <c r="AX15" s="178" t="s">
        <v>25</v>
      </c>
    </row>
    <row r="16" spans="1:50" x14ac:dyDescent="0.15">
      <c r="A16" s="6">
        <v>11</v>
      </c>
      <c r="B16" s="7">
        <v>7.5</v>
      </c>
      <c r="C16" s="8">
        <v>26</v>
      </c>
      <c r="D16" s="9">
        <v>186.25</v>
      </c>
      <c r="E16" s="9">
        <v>76</v>
      </c>
      <c r="F16" s="7">
        <v>39.4</v>
      </c>
      <c r="G16" s="7">
        <v>103.6</v>
      </c>
      <c r="H16" s="7">
        <v>90.9</v>
      </c>
      <c r="I16" s="7">
        <v>107.7</v>
      </c>
      <c r="J16" s="7">
        <v>66.2</v>
      </c>
      <c r="K16" s="107"/>
      <c r="L16" t="s">
        <v>26</v>
      </c>
      <c r="M16">
        <v>2</v>
      </c>
      <c r="N16">
        <v>2990.87891737474</v>
      </c>
      <c r="O16">
        <v>1495.43945868737</v>
      </c>
      <c r="P16">
        <v>66.9289098685243</v>
      </c>
      <c r="Q16">
        <v>1.7652546091539901E-14</v>
      </c>
      <c r="W16" t="s">
        <v>26</v>
      </c>
      <c r="X16">
        <v>2</v>
      </c>
      <c r="Y16">
        <v>2792.6514122436001</v>
      </c>
      <c r="Z16">
        <v>1396.3257061218001</v>
      </c>
      <c r="AA16">
        <v>52.569918801553897</v>
      </c>
      <c r="AB16">
        <v>1.0270673200807301E-12</v>
      </c>
      <c r="AH16" t="s">
        <v>26</v>
      </c>
      <c r="AI16">
        <v>2</v>
      </c>
      <c r="AJ16">
        <v>2943.5671962671199</v>
      </c>
      <c r="AK16">
        <v>1471.78359813356</v>
      </c>
      <c r="AL16">
        <v>63.030521300159101</v>
      </c>
      <c r="AM16">
        <v>4.9737991503207E-14</v>
      </c>
      <c r="AS16" t="s">
        <v>26</v>
      </c>
      <c r="AT16">
        <v>2</v>
      </c>
      <c r="AU16">
        <v>3237.4506794045101</v>
      </c>
      <c r="AV16">
        <v>1618.72533970225</v>
      </c>
      <c r="AW16">
        <v>94.676186809168598</v>
      </c>
      <c r="AX16">
        <v>0</v>
      </c>
    </row>
    <row r="17" spans="1:53" x14ac:dyDescent="0.15">
      <c r="A17" s="6">
        <v>12</v>
      </c>
      <c r="B17" s="7">
        <v>8.5</v>
      </c>
      <c r="C17" s="8">
        <v>27</v>
      </c>
      <c r="D17" s="9">
        <v>216</v>
      </c>
      <c r="E17" s="9">
        <v>69.5</v>
      </c>
      <c r="F17" s="7">
        <v>38.4</v>
      </c>
      <c r="G17" s="7">
        <v>102</v>
      </c>
      <c r="H17" s="7">
        <v>91.6</v>
      </c>
      <c r="I17" s="7">
        <v>103.9</v>
      </c>
      <c r="J17" s="7">
        <v>63.4</v>
      </c>
      <c r="K17" s="107"/>
      <c r="L17" t="s">
        <v>27</v>
      </c>
      <c r="M17">
        <v>47</v>
      </c>
      <c r="N17">
        <v>1050.1538826252499</v>
      </c>
      <c r="O17">
        <v>22.343699630324501</v>
      </c>
      <c r="W17" t="s">
        <v>27</v>
      </c>
      <c r="X17">
        <v>47</v>
      </c>
      <c r="Y17">
        <v>1248.38138775639</v>
      </c>
      <c r="Z17">
        <v>26.561306122476399</v>
      </c>
      <c r="AH17" t="s">
        <v>27</v>
      </c>
      <c r="AI17">
        <v>47</v>
      </c>
      <c r="AJ17">
        <v>1097.46560373288</v>
      </c>
      <c r="AK17">
        <v>23.350331994316502</v>
      </c>
      <c r="AS17" t="s">
        <v>27</v>
      </c>
      <c r="AT17">
        <v>47</v>
      </c>
      <c r="AU17">
        <v>803.58212059548498</v>
      </c>
      <c r="AV17">
        <v>17.0974919275635</v>
      </c>
    </row>
    <row r="18" spans="1:53" x14ac:dyDescent="0.15">
      <c r="A18" s="6">
        <v>13</v>
      </c>
      <c r="B18" s="7">
        <v>20.5</v>
      </c>
      <c r="C18" s="8">
        <v>32</v>
      </c>
      <c r="D18" s="9">
        <v>180.5</v>
      </c>
      <c r="E18" s="9">
        <v>71.25</v>
      </c>
      <c r="F18" s="7">
        <v>39.4</v>
      </c>
      <c r="G18" s="7">
        <v>104.1</v>
      </c>
      <c r="H18" s="7">
        <v>101.8</v>
      </c>
      <c r="I18" s="7">
        <v>108.6</v>
      </c>
      <c r="J18" s="7">
        <v>66</v>
      </c>
      <c r="K18" s="107"/>
      <c r="L18" s="118" t="s">
        <v>28</v>
      </c>
      <c r="M18" s="118">
        <v>49</v>
      </c>
      <c r="N18" s="118">
        <v>4041.0328</v>
      </c>
      <c r="O18" s="118"/>
      <c r="P18" s="118"/>
      <c r="Q18" s="118"/>
      <c r="W18" s="118" t="s">
        <v>28</v>
      </c>
      <c r="X18" s="118">
        <v>49</v>
      </c>
      <c r="Y18" s="118">
        <v>4041.0328</v>
      </c>
      <c r="Z18" s="118"/>
      <c r="AA18" s="118"/>
      <c r="AB18" s="118"/>
      <c r="AH18" s="118" t="s">
        <v>28</v>
      </c>
      <c r="AI18" s="118">
        <v>49</v>
      </c>
      <c r="AJ18" s="118">
        <v>4041.0328</v>
      </c>
      <c r="AK18" s="118"/>
      <c r="AL18" s="118"/>
      <c r="AM18" s="118"/>
      <c r="AS18" s="118" t="s">
        <v>28</v>
      </c>
      <c r="AT18" s="118">
        <v>49</v>
      </c>
      <c r="AU18" s="118">
        <v>4041.0328</v>
      </c>
      <c r="AV18" s="118"/>
      <c r="AW18" s="118"/>
      <c r="AX18" s="118"/>
    </row>
    <row r="19" spans="1:53" x14ac:dyDescent="0.15">
      <c r="A19" s="6">
        <v>14</v>
      </c>
      <c r="B19" s="7">
        <v>20.8</v>
      </c>
      <c r="C19" s="8">
        <v>30</v>
      </c>
      <c r="D19" s="9">
        <v>205.25</v>
      </c>
      <c r="E19" s="9">
        <v>69.5</v>
      </c>
      <c r="F19" s="7">
        <v>40.5</v>
      </c>
      <c r="G19" s="7">
        <v>101.3</v>
      </c>
      <c r="H19" s="7">
        <v>96.4</v>
      </c>
      <c r="I19" s="7">
        <v>100.1</v>
      </c>
      <c r="J19" s="7">
        <v>69</v>
      </c>
      <c r="K19" s="107"/>
      <c r="L19" s="118"/>
      <c r="M19" s="118"/>
      <c r="N19" s="118"/>
      <c r="O19" s="118"/>
      <c r="P19" s="118"/>
      <c r="Q19" s="118"/>
      <c r="R19" s="118"/>
      <c r="S19" s="118"/>
      <c r="T19" s="118"/>
      <c r="W19" s="118"/>
      <c r="X19" s="118"/>
      <c r="Y19" s="118"/>
      <c r="Z19" s="118"/>
      <c r="AA19" s="118"/>
      <c r="AB19" s="118"/>
      <c r="AC19" s="118"/>
      <c r="AD19" s="118"/>
      <c r="AE19" s="118"/>
      <c r="AH19" s="118"/>
      <c r="AI19" s="118"/>
      <c r="AJ19" s="118"/>
      <c r="AK19" s="118"/>
      <c r="AL19" s="118"/>
      <c r="AM19" s="118"/>
      <c r="AN19" s="118"/>
      <c r="AO19" s="118"/>
      <c r="AP19" s="118"/>
      <c r="AS19" s="118"/>
      <c r="AT19" s="118"/>
      <c r="AU19" s="118"/>
      <c r="AV19" s="118"/>
      <c r="AW19" s="118"/>
      <c r="AX19" s="118"/>
      <c r="AY19" s="118"/>
      <c r="AZ19" s="118"/>
      <c r="BA19" s="118"/>
    </row>
    <row r="20" spans="1:53" x14ac:dyDescent="0.15">
      <c r="A20" s="6">
        <v>15</v>
      </c>
      <c r="B20" s="7">
        <v>21.7</v>
      </c>
      <c r="C20" s="8">
        <v>35</v>
      </c>
      <c r="D20" s="9">
        <v>187.75</v>
      </c>
      <c r="E20" s="9">
        <v>66</v>
      </c>
      <c r="F20" s="7">
        <v>36.4</v>
      </c>
      <c r="G20" s="7">
        <v>99.1</v>
      </c>
      <c r="H20" s="7">
        <v>92.8</v>
      </c>
      <c r="I20" s="7">
        <v>99.2</v>
      </c>
      <c r="J20" s="7">
        <v>63.1</v>
      </c>
      <c r="K20" s="107"/>
      <c r="L20" s="117"/>
      <c r="M20" s="178" t="s">
        <v>29</v>
      </c>
      <c r="N20" s="178" t="s">
        <v>18</v>
      </c>
      <c r="O20" s="178" t="s">
        <v>30</v>
      </c>
      <c r="P20" s="178" t="s">
        <v>31</v>
      </c>
      <c r="Q20" s="178" t="s">
        <v>32</v>
      </c>
      <c r="R20" s="178" t="s">
        <v>33</v>
      </c>
      <c r="S20" s="178" t="s">
        <v>32</v>
      </c>
      <c r="T20" s="178" t="s">
        <v>33</v>
      </c>
      <c r="W20" s="117"/>
      <c r="X20" s="178" t="s">
        <v>29</v>
      </c>
      <c r="Y20" s="178" t="s">
        <v>18</v>
      </c>
      <c r="Z20" s="178" t="s">
        <v>30</v>
      </c>
      <c r="AA20" s="178" t="s">
        <v>31</v>
      </c>
      <c r="AB20" s="178" t="s">
        <v>32</v>
      </c>
      <c r="AC20" s="178" t="s">
        <v>33</v>
      </c>
      <c r="AD20" s="178" t="s">
        <v>32</v>
      </c>
      <c r="AE20" s="178" t="s">
        <v>33</v>
      </c>
      <c r="AH20" s="117"/>
      <c r="AI20" s="178" t="s">
        <v>29</v>
      </c>
      <c r="AJ20" s="178" t="s">
        <v>18</v>
      </c>
      <c r="AK20" s="178" t="s">
        <v>30</v>
      </c>
      <c r="AL20" s="178" t="s">
        <v>31</v>
      </c>
      <c r="AM20" s="178" t="s">
        <v>32</v>
      </c>
      <c r="AN20" s="178" t="s">
        <v>33</v>
      </c>
      <c r="AO20" s="178" t="s">
        <v>32</v>
      </c>
      <c r="AP20" s="178" t="s">
        <v>33</v>
      </c>
      <c r="AS20" s="117"/>
      <c r="AT20" s="178" t="s">
        <v>29</v>
      </c>
      <c r="AU20" s="178" t="s">
        <v>18</v>
      </c>
      <c r="AV20" s="178" t="s">
        <v>30</v>
      </c>
      <c r="AW20" s="178" t="s">
        <v>31</v>
      </c>
      <c r="AX20" s="178" t="s">
        <v>32</v>
      </c>
      <c r="AY20" s="178" t="s">
        <v>33</v>
      </c>
      <c r="AZ20" s="178" t="s">
        <v>32</v>
      </c>
      <c r="BA20" s="178" t="s">
        <v>33</v>
      </c>
    </row>
    <row r="21" spans="1:53" x14ac:dyDescent="0.15">
      <c r="A21" s="6">
        <v>16</v>
      </c>
      <c r="B21" s="7">
        <v>20.5</v>
      </c>
      <c r="C21" s="8">
        <v>35</v>
      </c>
      <c r="D21" s="9">
        <v>162.75</v>
      </c>
      <c r="E21" s="9">
        <v>71</v>
      </c>
      <c r="F21" s="7">
        <v>38.9</v>
      </c>
      <c r="G21" s="7">
        <v>101.9</v>
      </c>
      <c r="H21" s="7">
        <v>96.4</v>
      </c>
      <c r="I21" s="7">
        <v>105.2</v>
      </c>
      <c r="J21" s="7">
        <v>64.8</v>
      </c>
      <c r="K21" s="107"/>
      <c r="L21" t="s">
        <v>36</v>
      </c>
      <c r="M21">
        <v>-4.3247156512952598</v>
      </c>
      <c r="N21">
        <v>8.7460020875228501</v>
      </c>
      <c r="O21">
        <v>-0.49447914693102402</v>
      </c>
      <c r="P21">
        <v>0.62327131314348905</v>
      </c>
      <c r="Q21">
        <v>-21.9194020900891</v>
      </c>
      <c r="R21">
        <v>13.2699707874986</v>
      </c>
      <c r="S21">
        <v>-21.9194020900891</v>
      </c>
      <c r="T21">
        <v>13.2699707874986</v>
      </c>
      <c r="W21" t="s">
        <v>36</v>
      </c>
      <c r="X21">
        <v>-21.8317831062881</v>
      </c>
      <c r="Y21">
        <v>7.3851277644073496</v>
      </c>
      <c r="Z21">
        <v>-2.95618218164166</v>
      </c>
      <c r="AA21">
        <v>4.8583104987922499E-3</v>
      </c>
      <c r="AB21">
        <v>-36.688743580897601</v>
      </c>
      <c r="AC21">
        <v>-6.9748226316787596</v>
      </c>
      <c r="AD21">
        <v>-36.688743580897601</v>
      </c>
      <c r="AE21">
        <v>-6.9748226316787596</v>
      </c>
      <c r="AH21" t="s">
        <v>36</v>
      </c>
      <c r="AI21">
        <v>-6.7662107314986297</v>
      </c>
      <c r="AJ21">
        <v>8.9683692667084696</v>
      </c>
      <c r="AK21">
        <v>-0.75445273608609198</v>
      </c>
      <c r="AL21">
        <v>0.45434111333353899</v>
      </c>
      <c r="AM21">
        <v>-24.808242226113101</v>
      </c>
      <c r="AN21">
        <v>11.275820763115799</v>
      </c>
      <c r="AO21">
        <v>-24.808242226113101</v>
      </c>
      <c r="AP21">
        <v>11.275820763115799</v>
      </c>
      <c r="AS21" t="s">
        <v>36</v>
      </c>
      <c r="AT21">
        <v>-39.534966900707502</v>
      </c>
      <c r="AU21">
        <v>4.2121622520375999</v>
      </c>
      <c r="AV21">
        <v>-9.3859078865214194</v>
      </c>
      <c r="AW21">
        <v>2.37722299715514E-12</v>
      </c>
      <c r="AX21">
        <v>-48.008744212018001</v>
      </c>
      <c r="AY21">
        <v>-31.061189589396999</v>
      </c>
      <c r="AZ21">
        <v>-48.008744212018001</v>
      </c>
      <c r="BA21">
        <v>-31.061189589396999</v>
      </c>
    </row>
    <row r="22" spans="1:53" x14ac:dyDescent="0.15">
      <c r="A22" s="6">
        <v>17</v>
      </c>
      <c r="B22" s="7">
        <v>28.1</v>
      </c>
      <c r="C22" s="8">
        <v>34</v>
      </c>
      <c r="D22" s="9">
        <v>195.75</v>
      </c>
      <c r="E22" s="9">
        <v>71</v>
      </c>
      <c r="F22" s="7">
        <v>42.1</v>
      </c>
      <c r="G22" s="7">
        <v>107.6</v>
      </c>
      <c r="H22" s="7">
        <v>97.5</v>
      </c>
      <c r="I22" s="7">
        <v>107</v>
      </c>
      <c r="J22" s="7">
        <v>66.900000000000006</v>
      </c>
      <c r="K22" s="107"/>
      <c r="L22" t="s">
        <v>8</v>
      </c>
      <c r="M22">
        <v>0.95186420319899401</v>
      </c>
      <c r="N22">
        <v>0.13870254206734201</v>
      </c>
      <c r="O22">
        <v>6.8626298336828597</v>
      </c>
      <c r="P22">
        <v>1.32079551646016E-8</v>
      </c>
      <c r="Q22">
        <v>0.67283068462482798</v>
      </c>
      <c r="R22">
        <v>1.23089772177316</v>
      </c>
      <c r="S22">
        <v>0.67283068462482798</v>
      </c>
      <c r="T22">
        <v>1.23089772177316</v>
      </c>
      <c r="W22" t="s">
        <v>8</v>
      </c>
      <c r="X22">
        <v>0.65291476208475496</v>
      </c>
      <c r="Y22">
        <v>0.11143537115838401</v>
      </c>
      <c r="Z22">
        <v>5.85913391141092</v>
      </c>
      <c r="AA22">
        <v>4.3947414221905103E-7</v>
      </c>
      <c r="AB22">
        <v>0.428735715006832</v>
      </c>
      <c r="AC22">
        <v>0.87709380916267798</v>
      </c>
      <c r="AD22">
        <v>0.428735715006832</v>
      </c>
      <c r="AE22">
        <v>0.87709380916267798</v>
      </c>
      <c r="AH22" t="s">
        <v>8</v>
      </c>
      <c r="AI22">
        <v>0.50821026168514705</v>
      </c>
      <c r="AJ22">
        <v>4.7644521986822799E-2</v>
      </c>
      <c r="AK22">
        <v>10.666709214245101</v>
      </c>
      <c r="AL22">
        <v>3.8282932540888498E-14</v>
      </c>
      <c r="AM22">
        <v>0.412361848147688</v>
      </c>
      <c r="AN22">
        <v>0.60405867522260603</v>
      </c>
      <c r="AO22">
        <v>0.412361848147688</v>
      </c>
      <c r="AP22">
        <v>0.60405867522260603</v>
      </c>
      <c r="AS22" t="s">
        <v>8</v>
      </c>
      <c r="AT22">
        <v>1.01137991245951</v>
      </c>
      <c r="AU22">
        <v>0.100680950274995</v>
      </c>
      <c r="AV22">
        <v>10.045394979855301</v>
      </c>
      <c r="AW22">
        <v>2.7665261056214002E-13</v>
      </c>
      <c r="AX22">
        <v>0.80883596921308498</v>
      </c>
      <c r="AY22">
        <v>1.21392385570593</v>
      </c>
      <c r="AZ22">
        <v>0.80883596921308498</v>
      </c>
      <c r="BA22">
        <v>1.21392385570593</v>
      </c>
    </row>
    <row r="23" spans="1:53" x14ac:dyDescent="0.15">
      <c r="A23" s="6">
        <v>18</v>
      </c>
      <c r="B23" s="7">
        <v>22.4</v>
      </c>
      <c r="C23" s="8">
        <v>32</v>
      </c>
      <c r="D23" s="9">
        <v>209.25</v>
      </c>
      <c r="E23" s="9">
        <v>67.75</v>
      </c>
      <c r="F23" s="7">
        <v>38</v>
      </c>
      <c r="G23" s="7">
        <v>106.8</v>
      </c>
      <c r="H23" s="7">
        <v>89.6</v>
      </c>
      <c r="I23" s="7">
        <v>102.4</v>
      </c>
      <c r="J23" s="7">
        <v>64.2</v>
      </c>
      <c r="K23" s="107"/>
      <c r="L23" s="119" t="s">
        <v>9</v>
      </c>
      <c r="M23" s="118">
        <v>-0.64213427834522396</v>
      </c>
      <c r="N23" s="118">
        <v>0.192301836295105</v>
      </c>
      <c r="O23" s="118">
        <v>-3.3391999302586299</v>
      </c>
      <c r="P23" s="118">
        <v>1.6514379138300101E-3</v>
      </c>
      <c r="Q23" s="118">
        <v>-1.02899566682392</v>
      </c>
      <c r="R23" s="118">
        <v>-0.25527288986652802</v>
      </c>
      <c r="S23" s="118">
        <v>-1.02899566682392</v>
      </c>
      <c r="T23" s="118">
        <v>-0.25527288986652802</v>
      </c>
      <c r="W23" s="119" t="s">
        <v>10</v>
      </c>
      <c r="X23" s="118">
        <v>-0.33331070442701999</v>
      </c>
      <c r="Y23" s="118">
        <v>0.24075228815317501</v>
      </c>
      <c r="Z23" s="118">
        <v>-1.38445498061042</v>
      </c>
      <c r="AA23" s="118">
        <v>0.17275736735021199</v>
      </c>
      <c r="AB23" s="118">
        <v>-0.81764182818931097</v>
      </c>
      <c r="AC23" s="118">
        <v>0.15102041933527</v>
      </c>
      <c r="AD23" s="118">
        <v>-0.81764182818931097</v>
      </c>
      <c r="AE23" s="118">
        <v>0.15102041933527</v>
      </c>
      <c r="AH23" s="119" t="s">
        <v>5</v>
      </c>
      <c r="AI23" s="118">
        <v>-0.32081047402942497</v>
      </c>
      <c r="AJ23" s="118">
        <v>0.10912047290141901</v>
      </c>
      <c r="AK23" s="118">
        <v>-2.9399659431392799</v>
      </c>
      <c r="AL23" s="118">
        <v>5.0776364662077902E-3</v>
      </c>
      <c r="AM23" s="118">
        <v>-0.54033254657642205</v>
      </c>
      <c r="AN23" s="118">
        <v>-0.101288401482428</v>
      </c>
      <c r="AO23" s="118">
        <v>-0.54033254657642205</v>
      </c>
      <c r="AP23" s="118">
        <v>-0.101288401482428</v>
      </c>
      <c r="AS23" s="119" t="s">
        <v>4</v>
      </c>
      <c r="AT23" s="118">
        <v>-0.19537971296523701</v>
      </c>
      <c r="AU23" s="118">
        <v>3.62854026076369E-2</v>
      </c>
      <c r="AV23" s="118">
        <v>-5.3845265292472302</v>
      </c>
      <c r="AW23" s="118">
        <v>2.26750232973194E-6</v>
      </c>
      <c r="AX23" s="118">
        <v>-0.26837652622892999</v>
      </c>
      <c r="AY23" s="118">
        <v>-0.12238289970154501</v>
      </c>
      <c r="AZ23" s="118">
        <v>-0.26837652622892999</v>
      </c>
      <c r="BA23" s="118">
        <v>-0.12238289970154501</v>
      </c>
    </row>
    <row r="24" spans="1:53" x14ac:dyDescent="0.15">
      <c r="A24" s="6">
        <v>19</v>
      </c>
      <c r="B24" s="7">
        <v>16.100000000000001</v>
      </c>
      <c r="C24" s="8">
        <v>28</v>
      </c>
      <c r="D24" s="9">
        <v>183.75</v>
      </c>
      <c r="E24" s="9">
        <v>73.5</v>
      </c>
      <c r="F24" s="7">
        <v>40</v>
      </c>
      <c r="G24" s="7">
        <v>106.2</v>
      </c>
      <c r="H24" s="7">
        <v>100.5</v>
      </c>
      <c r="I24" s="7">
        <v>109</v>
      </c>
      <c r="J24" s="7">
        <v>65.8</v>
      </c>
      <c r="K24" s="107"/>
    </row>
    <row r="25" spans="1:53" x14ac:dyDescent="0.15">
      <c r="A25" s="6">
        <v>20</v>
      </c>
      <c r="B25" s="7">
        <v>16.5</v>
      </c>
      <c r="C25" s="8">
        <v>33</v>
      </c>
      <c r="D25" s="9">
        <v>211.75</v>
      </c>
      <c r="E25" s="9">
        <v>68</v>
      </c>
      <c r="F25" s="7">
        <v>39.1</v>
      </c>
      <c r="G25" s="7">
        <v>103.3</v>
      </c>
      <c r="H25" s="7">
        <v>95.9</v>
      </c>
      <c r="I25" s="7">
        <v>104.9</v>
      </c>
      <c r="J25" s="7">
        <v>63.5</v>
      </c>
      <c r="K25" s="107"/>
    </row>
    <row r="26" spans="1:53" x14ac:dyDescent="0.15">
      <c r="A26" s="6">
        <v>21</v>
      </c>
      <c r="B26" s="7">
        <v>19</v>
      </c>
      <c r="C26" s="8">
        <v>28</v>
      </c>
      <c r="D26" s="9">
        <v>179</v>
      </c>
      <c r="E26" s="9">
        <v>69.75</v>
      </c>
      <c r="F26" s="7">
        <v>41.3</v>
      </c>
      <c r="G26" s="7">
        <v>111.4</v>
      </c>
      <c r="H26" s="7">
        <v>98.8</v>
      </c>
      <c r="I26" s="7">
        <v>104.8</v>
      </c>
      <c r="J26" s="7">
        <v>63.4</v>
      </c>
      <c r="K26" s="107"/>
    </row>
    <row r="27" spans="1:53" x14ac:dyDescent="0.15">
      <c r="A27" s="6">
        <v>22</v>
      </c>
      <c r="B27" s="7">
        <v>15.3</v>
      </c>
      <c r="C27" s="8">
        <v>28</v>
      </c>
      <c r="D27" s="9">
        <v>200.5</v>
      </c>
      <c r="E27" s="9">
        <v>68.25</v>
      </c>
      <c r="F27" s="7">
        <v>33.9</v>
      </c>
      <c r="G27" s="7">
        <v>86</v>
      </c>
      <c r="H27" s="7">
        <v>76.400000000000006</v>
      </c>
      <c r="I27" s="7">
        <v>94.6</v>
      </c>
      <c r="J27" s="7">
        <v>57.4</v>
      </c>
      <c r="K27" s="107"/>
      <c r="L27" t="s">
        <v>12</v>
      </c>
      <c r="W27" t="s">
        <v>12</v>
      </c>
      <c r="AH27" t="s">
        <v>12</v>
      </c>
    </row>
    <row r="28" spans="1:53" x14ac:dyDescent="0.15">
      <c r="A28" s="6">
        <v>23</v>
      </c>
      <c r="B28" s="7">
        <v>15.7</v>
      </c>
      <c r="C28" s="8">
        <v>31</v>
      </c>
      <c r="D28" s="9">
        <v>140.25</v>
      </c>
      <c r="E28" s="9">
        <v>70</v>
      </c>
      <c r="F28" s="7">
        <v>35.5</v>
      </c>
      <c r="G28" s="7">
        <v>86.7</v>
      </c>
      <c r="H28" s="7">
        <v>80</v>
      </c>
      <c r="I28" s="7">
        <v>93.4</v>
      </c>
      <c r="J28" s="7">
        <v>54.9</v>
      </c>
      <c r="K28" s="107"/>
    </row>
    <row r="29" spans="1:53" x14ac:dyDescent="0.15">
      <c r="A29" s="6">
        <v>24</v>
      </c>
      <c r="B29" s="7">
        <v>17.600000000000001</v>
      </c>
      <c r="C29" s="8">
        <v>32</v>
      </c>
      <c r="D29" s="9">
        <v>148.75</v>
      </c>
      <c r="E29" s="9">
        <v>67.75</v>
      </c>
      <c r="F29" s="7">
        <v>34.5</v>
      </c>
      <c r="G29" s="7">
        <v>90.2</v>
      </c>
      <c r="H29" s="7">
        <v>76.3</v>
      </c>
      <c r="I29" s="7">
        <v>95.8</v>
      </c>
      <c r="J29" s="7">
        <v>58.4</v>
      </c>
      <c r="K29" s="107"/>
      <c r="L29" s="249" t="s">
        <v>14</v>
      </c>
      <c r="M29" s="249"/>
      <c r="W29" s="249" t="s">
        <v>14</v>
      </c>
      <c r="X29" s="249"/>
      <c r="AH29" s="249" t="s">
        <v>14</v>
      </c>
      <c r="AI29" s="249"/>
    </row>
    <row r="30" spans="1:53" x14ac:dyDescent="0.15">
      <c r="A30" s="6">
        <v>25</v>
      </c>
      <c r="B30" s="7">
        <v>14.2</v>
      </c>
      <c r="C30" s="8">
        <v>28</v>
      </c>
      <c r="D30" s="9">
        <v>151.25</v>
      </c>
      <c r="E30" s="9">
        <v>71.5</v>
      </c>
      <c r="F30" s="7">
        <v>35.700000000000003</v>
      </c>
      <c r="G30" s="7">
        <v>89.6</v>
      </c>
      <c r="H30" s="7">
        <v>79.7</v>
      </c>
      <c r="I30" s="7">
        <v>96.5</v>
      </c>
      <c r="J30" s="7">
        <v>55</v>
      </c>
      <c r="K30" s="107"/>
      <c r="L30" t="s">
        <v>15</v>
      </c>
      <c r="M30">
        <v>0.83898675325963101</v>
      </c>
      <c r="W30" t="s">
        <v>15</v>
      </c>
      <c r="X30">
        <v>0.864701720998723</v>
      </c>
      <c r="AH30" t="s">
        <v>15</v>
      </c>
      <c r="AI30">
        <v>0.841189104082957</v>
      </c>
    </row>
    <row r="31" spans="1:53" x14ac:dyDescent="0.15">
      <c r="A31" s="6">
        <v>26</v>
      </c>
      <c r="B31" s="7">
        <v>4.5999999999999996</v>
      </c>
      <c r="C31" s="8">
        <v>27</v>
      </c>
      <c r="D31" s="9">
        <v>159.25</v>
      </c>
      <c r="E31" s="9">
        <v>67.5</v>
      </c>
      <c r="F31" s="7">
        <v>36.200000000000003</v>
      </c>
      <c r="G31" s="7">
        <v>88.6</v>
      </c>
      <c r="H31" s="7">
        <v>74.599999999999994</v>
      </c>
      <c r="I31" s="7">
        <v>85.3</v>
      </c>
      <c r="J31" s="7">
        <v>51.7</v>
      </c>
      <c r="K31" s="107"/>
      <c r="L31" t="s">
        <v>16</v>
      </c>
      <c r="M31">
        <v>0.70389877214513796</v>
      </c>
      <c r="W31" t="s">
        <v>16</v>
      </c>
      <c r="X31">
        <v>0.74770906629815403</v>
      </c>
      <c r="AH31" t="s">
        <v>16</v>
      </c>
      <c r="AI31">
        <v>0.70759910882788801</v>
      </c>
    </row>
    <row r="32" spans="1:53" x14ac:dyDescent="0.15">
      <c r="A32" s="6">
        <v>27</v>
      </c>
      <c r="B32" s="7">
        <v>8.5</v>
      </c>
      <c r="C32" s="8">
        <v>34</v>
      </c>
      <c r="D32" s="9">
        <v>131.5</v>
      </c>
      <c r="E32" s="9">
        <v>67.5</v>
      </c>
      <c r="F32" s="7">
        <v>38.799999999999997</v>
      </c>
      <c r="G32" s="7">
        <v>97.4</v>
      </c>
      <c r="H32" s="7">
        <v>88.7</v>
      </c>
      <c r="I32" s="7">
        <v>94.7</v>
      </c>
      <c r="J32" s="7">
        <v>57.5</v>
      </c>
      <c r="K32" s="107"/>
      <c r="L32" t="s">
        <v>17</v>
      </c>
      <c r="M32" s="116">
        <v>0.69129871989599501</v>
      </c>
      <c r="W32" t="s">
        <v>17</v>
      </c>
      <c r="X32" s="116">
        <v>0.73697328188530997</v>
      </c>
      <c r="AH32" t="s">
        <v>17</v>
      </c>
      <c r="AI32" s="116">
        <v>0.69515651771418097</v>
      </c>
    </row>
    <row r="33" spans="1:42" x14ac:dyDescent="0.15">
      <c r="A33" s="6">
        <v>28</v>
      </c>
      <c r="B33" s="7">
        <v>22.4</v>
      </c>
      <c r="C33" s="8">
        <v>31</v>
      </c>
      <c r="D33" s="9">
        <v>148</v>
      </c>
      <c r="E33" s="9">
        <v>64.75</v>
      </c>
      <c r="F33" s="7">
        <v>36.4</v>
      </c>
      <c r="G33" s="7">
        <v>93.5</v>
      </c>
      <c r="H33" s="7">
        <v>73.900000000000006</v>
      </c>
      <c r="I33" s="7">
        <v>88.5</v>
      </c>
      <c r="J33" s="7">
        <v>50.1</v>
      </c>
      <c r="K33" s="107"/>
      <c r="L33" t="s">
        <v>18</v>
      </c>
      <c r="M33">
        <v>5.04565280318121</v>
      </c>
      <c r="W33" t="s">
        <v>18</v>
      </c>
      <c r="X33">
        <v>4.6574487085760401</v>
      </c>
      <c r="AH33" t="s">
        <v>18</v>
      </c>
      <c r="AI33">
        <v>5.0140262667579796</v>
      </c>
    </row>
    <row r="34" spans="1:42" x14ac:dyDescent="0.15">
      <c r="A34" s="6">
        <v>29</v>
      </c>
      <c r="B34" s="7">
        <v>4.7</v>
      </c>
      <c r="C34" s="8">
        <v>27</v>
      </c>
      <c r="D34" s="9">
        <v>133.25</v>
      </c>
      <c r="E34" s="9">
        <v>69</v>
      </c>
      <c r="F34" s="7">
        <v>36.700000000000003</v>
      </c>
      <c r="G34" s="7">
        <v>97.4</v>
      </c>
      <c r="H34" s="7">
        <v>83.5</v>
      </c>
      <c r="I34" s="7">
        <v>98.7</v>
      </c>
      <c r="J34" s="7">
        <v>58.9</v>
      </c>
      <c r="K34" s="107"/>
      <c r="L34" s="118" t="s">
        <v>19</v>
      </c>
      <c r="M34" s="118">
        <v>50</v>
      </c>
      <c r="W34" s="118" t="s">
        <v>19</v>
      </c>
      <c r="X34" s="118">
        <v>50</v>
      </c>
      <c r="AH34" s="118" t="s">
        <v>19</v>
      </c>
      <c r="AI34" s="118">
        <v>50</v>
      </c>
    </row>
    <row r="35" spans="1:42" x14ac:dyDescent="0.15">
      <c r="A35" s="6"/>
      <c r="B35" s="7"/>
      <c r="C35" s="8"/>
      <c r="D35" s="9"/>
      <c r="E35" s="9">
        <v>73.75</v>
      </c>
      <c r="F35" s="7">
        <v>38.700000000000003</v>
      </c>
      <c r="G35" s="7">
        <v>100.5</v>
      </c>
      <c r="H35" s="7">
        <v>88.7</v>
      </c>
      <c r="I35" s="7">
        <v>99.8</v>
      </c>
      <c r="J35" s="7">
        <v>57.5</v>
      </c>
      <c r="K35" s="107"/>
    </row>
    <row r="36" spans="1:42" x14ac:dyDescent="0.15">
      <c r="A36" s="6">
        <v>30</v>
      </c>
      <c r="B36" s="7">
        <v>9.4</v>
      </c>
      <c r="C36" s="8">
        <v>29</v>
      </c>
      <c r="D36" s="9">
        <v>160.75</v>
      </c>
      <c r="E36" s="9">
        <v>71.25</v>
      </c>
      <c r="F36" s="7">
        <v>37.299999999999997</v>
      </c>
      <c r="G36" s="7">
        <v>93.5</v>
      </c>
      <c r="H36" s="7">
        <v>84.5</v>
      </c>
      <c r="I36" s="7">
        <v>100.6</v>
      </c>
      <c r="J36" s="7">
        <v>58.5</v>
      </c>
      <c r="K36" s="107"/>
      <c r="L36" t="s">
        <v>20</v>
      </c>
      <c r="W36" t="s">
        <v>20</v>
      </c>
      <c r="AH36" t="s">
        <v>20</v>
      </c>
    </row>
    <row r="37" spans="1:42" x14ac:dyDescent="0.15">
      <c r="A37" s="6">
        <v>31</v>
      </c>
      <c r="B37" s="7">
        <v>12.3</v>
      </c>
      <c r="C37" s="8">
        <v>32</v>
      </c>
      <c r="D37" s="9">
        <v>182</v>
      </c>
      <c r="E37" s="9">
        <v>71.25</v>
      </c>
      <c r="F37" s="7">
        <v>38.1</v>
      </c>
      <c r="G37" s="7">
        <v>93</v>
      </c>
      <c r="H37" s="7">
        <v>79.099999999999994</v>
      </c>
      <c r="I37" s="7">
        <v>94.5</v>
      </c>
      <c r="J37" s="7">
        <v>57.3</v>
      </c>
      <c r="K37" s="107"/>
      <c r="L37" s="178"/>
      <c r="M37" s="178" t="s">
        <v>21</v>
      </c>
      <c r="N37" s="178" t="s">
        <v>22</v>
      </c>
      <c r="O37" s="178" t="s">
        <v>23</v>
      </c>
      <c r="P37" s="178" t="s">
        <v>24</v>
      </c>
      <c r="Q37" s="178" t="s">
        <v>25</v>
      </c>
      <c r="W37" s="178"/>
      <c r="X37" s="178" t="s">
        <v>21</v>
      </c>
      <c r="Y37" s="178" t="s">
        <v>22</v>
      </c>
      <c r="Z37" s="178" t="s">
        <v>23</v>
      </c>
      <c r="AA37" s="178" t="s">
        <v>24</v>
      </c>
      <c r="AB37" s="178" t="s">
        <v>25</v>
      </c>
      <c r="AH37" s="178"/>
      <c r="AI37" s="178" t="s">
        <v>21</v>
      </c>
      <c r="AJ37" s="178" t="s">
        <v>22</v>
      </c>
      <c r="AK37" s="178" t="s">
        <v>23</v>
      </c>
      <c r="AL37" s="178" t="s">
        <v>24</v>
      </c>
      <c r="AM37" s="178" t="s">
        <v>25</v>
      </c>
    </row>
    <row r="38" spans="1:42" x14ac:dyDescent="0.15">
      <c r="A38" s="6">
        <v>32</v>
      </c>
      <c r="B38" s="7">
        <v>6.5</v>
      </c>
      <c r="C38" s="8">
        <v>29</v>
      </c>
      <c r="D38" s="9">
        <v>160.25</v>
      </c>
      <c r="E38" s="9">
        <v>71</v>
      </c>
      <c r="F38" s="7">
        <v>39.799999999999997</v>
      </c>
      <c r="G38" s="7">
        <v>111.7</v>
      </c>
      <c r="H38" s="7">
        <v>100.5</v>
      </c>
      <c r="I38" s="7">
        <v>108.3</v>
      </c>
      <c r="J38" s="7">
        <v>67.099999999999994</v>
      </c>
      <c r="K38" s="107"/>
      <c r="L38" t="s">
        <v>26</v>
      </c>
      <c r="M38">
        <v>2</v>
      </c>
      <c r="N38">
        <v>2844.47802611822</v>
      </c>
      <c r="O38">
        <v>1422.23901305911</v>
      </c>
      <c r="P38">
        <v>55.864750258714999</v>
      </c>
      <c r="Q38">
        <v>3.7914116290949E-13</v>
      </c>
      <c r="W38" t="s">
        <v>26</v>
      </c>
      <c r="X38">
        <v>2</v>
      </c>
      <c r="Y38">
        <v>3021.5168617682102</v>
      </c>
      <c r="Z38">
        <v>1510.7584308841001</v>
      </c>
      <c r="AA38">
        <v>69.646430809804798</v>
      </c>
      <c r="AB38">
        <v>8.7707618945387304E-15</v>
      </c>
      <c r="AH38" t="s">
        <v>26</v>
      </c>
      <c r="AI38">
        <v>2</v>
      </c>
      <c r="AJ38">
        <v>2859.4312080242598</v>
      </c>
      <c r="AK38">
        <v>1429.7156040121299</v>
      </c>
      <c r="AL38">
        <v>56.869112097430502</v>
      </c>
      <c r="AM38">
        <v>2.8210767055725202E-13</v>
      </c>
    </row>
    <row r="39" spans="1:42" x14ac:dyDescent="0.15">
      <c r="A39" s="6">
        <v>33</v>
      </c>
      <c r="B39" s="7">
        <v>13.4</v>
      </c>
      <c r="C39" s="8">
        <v>27</v>
      </c>
      <c r="D39" s="9">
        <v>168</v>
      </c>
      <c r="E39" s="9">
        <v>73.5</v>
      </c>
      <c r="F39" s="7">
        <v>42.1</v>
      </c>
      <c r="G39" s="7">
        <v>117</v>
      </c>
      <c r="H39" s="7">
        <v>115.6</v>
      </c>
      <c r="I39" s="7">
        <v>116.1</v>
      </c>
      <c r="J39" s="7">
        <v>71.2</v>
      </c>
      <c r="K39" s="107"/>
      <c r="L39" t="s">
        <v>27</v>
      </c>
      <c r="M39">
        <v>47</v>
      </c>
      <c r="N39">
        <v>1196.55477388177</v>
      </c>
      <c r="O39">
        <v>25.458612210250401</v>
      </c>
      <c r="W39" t="s">
        <v>27</v>
      </c>
      <c r="X39">
        <v>47</v>
      </c>
      <c r="Y39">
        <v>1019.51593823178</v>
      </c>
      <c r="Z39">
        <v>21.691828473016599</v>
      </c>
      <c r="AH39" t="s">
        <v>27</v>
      </c>
      <c r="AI39">
        <v>47</v>
      </c>
      <c r="AJ39">
        <v>1181.6015919757299</v>
      </c>
      <c r="AK39">
        <v>25.140459403738902</v>
      </c>
    </row>
    <row r="40" spans="1:42" x14ac:dyDescent="0.15">
      <c r="A40" s="6">
        <v>34</v>
      </c>
      <c r="B40" s="7">
        <v>20.9</v>
      </c>
      <c r="C40" s="8">
        <v>41</v>
      </c>
      <c r="D40" s="9">
        <v>218.5</v>
      </c>
      <c r="E40" s="9">
        <v>65</v>
      </c>
      <c r="F40" s="7">
        <v>38.4</v>
      </c>
      <c r="G40" s="7">
        <v>118.5</v>
      </c>
      <c r="H40" s="7">
        <v>113.1</v>
      </c>
      <c r="I40" s="7">
        <v>113.8</v>
      </c>
      <c r="J40" s="7">
        <v>61.9</v>
      </c>
      <c r="K40" s="107"/>
      <c r="L40" s="118" t="s">
        <v>28</v>
      </c>
      <c r="M40" s="118">
        <v>49</v>
      </c>
      <c r="N40" s="118">
        <v>4041.0328</v>
      </c>
      <c r="O40" s="118"/>
      <c r="P40" s="118"/>
      <c r="Q40" s="118"/>
      <c r="W40" s="118" t="s">
        <v>28</v>
      </c>
      <c r="X40" s="118">
        <v>49</v>
      </c>
      <c r="Y40" s="118">
        <v>4041.0328</v>
      </c>
      <c r="Z40" s="118"/>
      <c r="AA40" s="118"/>
      <c r="AB40" s="118"/>
      <c r="AH40" s="118" t="s">
        <v>28</v>
      </c>
      <c r="AI40" s="118">
        <v>49</v>
      </c>
      <c r="AJ40" s="118">
        <v>4041.0328</v>
      </c>
      <c r="AK40" s="118"/>
      <c r="AL40" s="118"/>
      <c r="AM40" s="118"/>
    </row>
    <row r="41" spans="1:42" x14ac:dyDescent="0.15">
      <c r="A41" s="6">
        <v>35</v>
      </c>
      <c r="B41" s="7">
        <v>31.1</v>
      </c>
      <c r="C41" s="8">
        <v>41</v>
      </c>
      <c r="D41" s="9">
        <v>247.25</v>
      </c>
      <c r="E41" s="9">
        <v>70</v>
      </c>
      <c r="F41" s="7">
        <v>38.5</v>
      </c>
      <c r="G41" s="7">
        <v>106.5</v>
      </c>
      <c r="H41" s="7">
        <v>100.9</v>
      </c>
      <c r="I41" s="7">
        <v>106.2</v>
      </c>
      <c r="J41" s="7">
        <v>63.5</v>
      </c>
      <c r="K41" s="107"/>
      <c r="L41" s="118"/>
      <c r="M41" s="118"/>
      <c r="N41" s="118"/>
      <c r="O41" s="118"/>
      <c r="P41" s="118"/>
      <c r="Q41" s="118"/>
      <c r="R41" s="118"/>
      <c r="S41" s="118"/>
      <c r="T41" s="118"/>
      <c r="W41" s="118"/>
      <c r="X41" s="118"/>
      <c r="Y41" s="118"/>
      <c r="Z41" s="118"/>
      <c r="AA41" s="118"/>
      <c r="AB41" s="118"/>
      <c r="AC41" s="118"/>
      <c r="AD41" s="118"/>
      <c r="AE41" s="118"/>
      <c r="AH41" s="118"/>
      <c r="AI41" s="118"/>
      <c r="AJ41" s="118"/>
      <c r="AK41" s="118"/>
      <c r="AL41" s="118"/>
      <c r="AM41" s="118"/>
      <c r="AN41" s="118"/>
      <c r="AO41" s="118"/>
      <c r="AP41" s="118"/>
    </row>
    <row r="42" spans="1:42" x14ac:dyDescent="0.15">
      <c r="A42" s="6">
        <v>36</v>
      </c>
      <c r="B42" s="7">
        <v>38.200000000000003</v>
      </c>
      <c r="C42" s="8">
        <v>49</v>
      </c>
      <c r="D42" s="9">
        <v>191.75</v>
      </c>
      <c r="E42" s="9">
        <v>68.25</v>
      </c>
      <c r="F42" s="7">
        <v>42.1</v>
      </c>
      <c r="G42" s="7">
        <v>105.6</v>
      </c>
      <c r="H42" s="7">
        <v>98.8</v>
      </c>
      <c r="I42" s="7">
        <v>104.8</v>
      </c>
      <c r="J42" s="7">
        <v>66</v>
      </c>
      <c r="K42" s="107"/>
      <c r="L42" s="117"/>
      <c r="M42" s="178" t="s">
        <v>29</v>
      </c>
      <c r="N42" s="178" t="s">
        <v>18</v>
      </c>
      <c r="O42" s="178" t="s">
        <v>30</v>
      </c>
      <c r="P42" s="178" t="s">
        <v>31</v>
      </c>
      <c r="Q42" s="178" t="s">
        <v>32</v>
      </c>
      <c r="R42" s="178" t="s">
        <v>33</v>
      </c>
      <c r="S42" s="178" t="s">
        <v>32</v>
      </c>
      <c r="T42" s="178" t="s">
        <v>33</v>
      </c>
      <c r="W42" s="117"/>
      <c r="X42" s="178" t="s">
        <v>29</v>
      </c>
      <c r="Y42" s="178" t="s">
        <v>18</v>
      </c>
      <c r="Z42" s="178" t="s">
        <v>30</v>
      </c>
      <c r="AA42" s="178" t="s">
        <v>31</v>
      </c>
      <c r="AB42" s="178" t="s">
        <v>32</v>
      </c>
      <c r="AC42" s="178" t="s">
        <v>33</v>
      </c>
      <c r="AD42" s="178" t="s">
        <v>32</v>
      </c>
      <c r="AE42" s="178" t="s">
        <v>33</v>
      </c>
      <c r="AH42" s="117"/>
      <c r="AI42" s="178" t="s">
        <v>29</v>
      </c>
      <c r="AJ42" s="178" t="s">
        <v>18</v>
      </c>
      <c r="AK42" s="178" t="s">
        <v>30</v>
      </c>
      <c r="AL42" s="178" t="s">
        <v>31</v>
      </c>
      <c r="AM42" s="178" t="s">
        <v>32</v>
      </c>
      <c r="AN42" s="178" t="s">
        <v>33</v>
      </c>
      <c r="AO42" s="178" t="s">
        <v>32</v>
      </c>
      <c r="AP42" s="178" t="s">
        <v>33</v>
      </c>
    </row>
    <row r="43" spans="1:42" x14ac:dyDescent="0.15">
      <c r="A43" s="6">
        <v>37</v>
      </c>
      <c r="B43" s="7">
        <v>23.6</v>
      </c>
      <c r="C43" s="8">
        <v>40</v>
      </c>
      <c r="D43" s="9">
        <v>202.25</v>
      </c>
      <c r="E43" s="9">
        <v>72.25</v>
      </c>
      <c r="F43" s="7">
        <v>51.2</v>
      </c>
      <c r="G43" s="7">
        <v>136.19999999999999</v>
      </c>
      <c r="H43" s="7">
        <v>148.1</v>
      </c>
      <c r="I43" s="7">
        <v>147.69999999999999</v>
      </c>
      <c r="J43" s="7">
        <v>87.3</v>
      </c>
      <c r="K43" s="107"/>
      <c r="L43" t="s">
        <v>36</v>
      </c>
      <c r="M43">
        <v>-14.3632427444304</v>
      </c>
      <c r="N43">
        <v>8.9223720763223593</v>
      </c>
      <c r="O43">
        <v>-1.6098009163445099</v>
      </c>
      <c r="P43">
        <v>0.114138278729915</v>
      </c>
      <c r="Q43">
        <v>-32.312739829172799</v>
      </c>
      <c r="R43">
        <v>3.58625434031199</v>
      </c>
      <c r="S43">
        <v>-32.312739829172799</v>
      </c>
      <c r="T43">
        <v>3.58625434031199</v>
      </c>
      <c r="W43" t="s">
        <v>36</v>
      </c>
      <c r="X43">
        <v>-4.3916554566981096</v>
      </c>
      <c r="Y43">
        <v>8.2380751274733708</v>
      </c>
      <c r="Z43">
        <v>-0.53309242617274399</v>
      </c>
      <c r="AA43">
        <v>0.596481501319861</v>
      </c>
      <c r="AB43">
        <v>-20.964524669009698</v>
      </c>
      <c r="AC43">
        <v>12.1812137556135</v>
      </c>
      <c r="AD43">
        <v>-20.964524669009698</v>
      </c>
      <c r="AE43">
        <v>12.1812137556135</v>
      </c>
      <c r="AH43" t="s">
        <v>36</v>
      </c>
      <c r="AI43">
        <v>-31.756892434350799</v>
      </c>
      <c r="AJ43">
        <v>4.6994713413386302</v>
      </c>
      <c r="AK43">
        <v>-6.7575457168986599</v>
      </c>
      <c r="AL43">
        <v>1.9071633774390001E-8</v>
      </c>
      <c r="AM43">
        <v>-41.211009166944798</v>
      </c>
      <c r="AN43">
        <v>-22.3027757017569</v>
      </c>
      <c r="AO43">
        <v>-41.211009166944798</v>
      </c>
      <c r="AP43">
        <v>-22.3027757017569</v>
      </c>
    </row>
    <row r="44" spans="1:42" x14ac:dyDescent="0.15">
      <c r="A44" s="6">
        <v>38</v>
      </c>
      <c r="B44" s="7">
        <v>27.5</v>
      </c>
      <c r="C44" s="8">
        <v>50</v>
      </c>
      <c r="D44" s="9">
        <v>196.75</v>
      </c>
      <c r="E44" s="9">
        <v>67</v>
      </c>
      <c r="F44" s="7">
        <v>40.200000000000003</v>
      </c>
      <c r="G44" s="7">
        <v>114.8</v>
      </c>
      <c r="H44" s="7">
        <v>108.1</v>
      </c>
      <c r="I44" s="7">
        <v>102.5</v>
      </c>
      <c r="J44" s="7">
        <v>61.3</v>
      </c>
      <c r="K44" s="107"/>
      <c r="L44" t="s">
        <v>8</v>
      </c>
      <c r="M44">
        <v>0.79591670835488004</v>
      </c>
      <c r="N44">
        <v>0.148139204225541</v>
      </c>
      <c r="O44">
        <v>5.3727621429847803</v>
      </c>
      <c r="P44">
        <v>2.3609740880650699E-6</v>
      </c>
      <c r="Q44">
        <v>0.49789907451972898</v>
      </c>
      <c r="R44">
        <v>1.0939343421900301</v>
      </c>
      <c r="S44">
        <v>0.49789907451972898</v>
      </c>
      <c r="T44">
        <v>1.0939343421900301</v>
      </c>
      <c r="W44" t="s">
        <v>8</v>
      </c>
      <c r="X44">
        <v>0.72166167956654403</v>
      </c>
      <c r="Y44">
        <v>7.3459770046009301E-2</v>
      </c>
      <c r="Z44">
        <v>9.8239033298709408</v>
      </c>
      <c r="AA44">
        <v>5.6643856249968904E-13</v>
      </c>
      <c r="AB44">
        <v>0.57387968650375498</v>
      </c>
      <c r="AC44">
        <v>0.86944367262933298</v>
      </c>
      <c r="AD44">
        <v>0.57387968650375498</v>
      </c>
      <c r="AE44">
        <v>0.86944367262933298</v>
      </c>
      <c r="AH44" t="s">
        <v>8</v>
      </c>
      <c r="AI44">
        <v>0.46288346456771401</v>
      </c>
      <c r="AJ44">
        <v>5.5046153290969499E-2</v>
      </c>
      <c r="AK44">
        <v>8.4090065680148207</v>
      </c>
      <c r="AL44">
        <v>6.28925711328471E-11</v>
      </c>
      <c r="AM44">
        <v>0.352144889716686</v>
      </c>
      <c r="AN44">
        <v>0.57362203941874101</v>
      </c>
      <c r="AO44">
        <v>0.352144889716686</v>
      </c>
      <c r="AP44">
        <v>0.57362203941874101</v>
      </c>
    </row>
    <row r="45" spans="1:42" x14ac:dyDescent="0.15">
      <c r="A45" s="6">
        <v>39</v>
      </c>
      <c r="B45" s="7">
        <v>33.799999999999997</v>
      </c>
      <c r="C45" s="8">
        <v>46</v>
      </c>
      <c r="D45" s="9">
        <v>363.15</v>
      </c>
      <c r="E45" s="9">
        <v>68.75</v>
      </c>
      <c r="F45" s="7">
        <v>43.2</v>
      </c>
      <c r="G45" s="7">
        <v>128.30000000000001</v>
      </c>
      <c r="H45" s="7">
        <v>126.2</v>
      </c>
      <c r="I45" s="7">
        <v>125.6</v>
      </c>
      <c r="J45" s="7">
        <v>72.5</v>
      </c>
      <c r="K45" s="107"/>
      <c r="L45" s="119" t="s">
        <v>7</v>
      </c>
      <c r="M45" s="118">
        <v>-0.40677920814069002</v>
      </c>
      <c r="N45" s="118">
        <v>0.20249415559963899</v>
      </c>
      <c r="O45" s="118">
        <v>-2.0088441907674199</v>
      </c>
      <c r="P45" s="118">
        <v>5.0317473905232897E-2</v>
      </c>
      <c r="Q45" s="118">
        <v>-0.81414489795075395</v>
      </c>
      <c r="R45" s="118">
        <v>5.8648166937275105E-4</v>
      </c>
      <c r="S45" s="118">
        <v>-0.81414489795075395</v>
      </c>
      <c r="T45" s="118">
        <v>5.8648166937275105E-4</v>
      </c>
      <c r="W45" s="119" t="s">
        <v>6</v>
      </c>
      <c r="X45" s="118">
        <v>-1.16453472216304</v>
      </c>
      <c r="Y45" s="118">
        <v>0.32426147757900498</v>
      </c>
      <c r="Z45" s="118">
        <v>-3.5913446483303102</v>
      </c>
      <c r="AA45" s="118">
        <v>7.8390813730669199E-4</v>
      </c>
      <c r="AB45" s="118">
        <v>-1.8168646627563301</v>
      </c>
      <c r="AC45" s="118">
        <v>-0.51220478156974703</v>
      </c>
      <c r="AD45" s="118">
        <v>-1.8168646627563301</v>
      </c>
      <c r="AE45" s="118">
        <v>-0.51220478156974703</v>
      </c>
      <c r="AH45" s="119" t="s">
        <v>3</v>
      </c>
      <c r="AI45" s="118">
        <v>0.20566200288042999</v>
      </c>
      <c r="AJ45" s="118">
        <v>9.5053999409492093E-2</v>
      </c>
      <c r="AK45" s="118">
        <v>2.1636333469193598</v>
      </c>
      <c r="AL45" s="118">
        <v>3.56088268906384E-2</v>
      </c>
      <c r="AM45" s="118">
        <v>1.4438024469855201E-2</v>
      </c>
      <c r="AN45" s="118">
        <v>0.396885981291005</v>
      </c>
      <c r="AO45" s="118">
        <v>1.4438024469855201E-2</v>
      </c>
      <c r="AP45" s="118">
        <v>0.396885981291005</v>
      </c>
    </row>
    <row r="46" spans="1:42" x14ac:dyDescent="0.15">
      <c r="A46" s="6">
        <v>40</v>
      </c>
      <c r="B46" s="7">
        <v>31.3</v>
      </c>
      <c r="C46" s="8">
        <v>50</v>
      </c>
      <c r="D46" s="9">
        <v>203</v>
      </c>
      <c r="E46" s="9">
        <v>29.5</v>
      </c>
      <c r="F46" s="7">
        <v>36.6</v>
      </c>
      <c r="G46" s="7">
        <v>106</v>
      </c>
      <c r="H46" s="7">
        <v>104.3</v>
      </c>
      <c r="I46" s="7">
        <v>115.5</v>
      </c>
      <c r="J46" s="7">
        <v>70.599999999999994</v>
      </c>
      <c r="K46" s="107"/>
    </row>
    <row r="47" spans="1:42" x14ac:dyDescent="0.15">
      <c r="A47" s="6">
        <v>41</v>
      </c>
      <c r="B47" s="7">
        <v>33.1</v>
      </c>
      <c r="C47" s="8">
        <v>45</v>
      </c>
      <c r="D47" s="9">
        <v>262.75</v>
      </c>
      <c r="E47" s="9">
        <v>70</v>
      </c>
      <c r="F47" s="7">
        <v>37.299999999999997</v>
      </c>
      <c r="G47" s="7">
        <v>113.3</v>
      </c>
      <c r="H47" s="7">
        <v>111.2</v>
      </c>
      <c r="I47" s="7">
        <v>114.1</v>
      </c>
      <c r="J47" s="7">
        <v>67.7</v>
      </c>
      <c r="K47" s="107"/>
    </row>
    <row r="48" spans="1:42" x14ac:dyDescent="0.15">
      <c r="A48" s="6">
        <v>42</v>
      </c>
      <c r="B48" s="7">
        <v>31.7</v>
      </c>
      <c r="C48" s="8">
        <v>44</v>
      </c>
      <c r="D48" s="9">
        <v>205</v>
      </c>
      <c r="E48" s="9">
        <v>71.5</v>
      </c>
      <c r="F48" s="7">
        <v>41.5</v>
      </c>
      <c r="G48" s="7">
        <v>106.6</v>
      </c>
      <c r="H48" s="7">
        <v>104.3</v>
      </c>
      <c r="I48" s="7">
        <v>106</v>
      </c>
      <c r="J48" s="7">
        <v>65</v>
      </c>
      <c r="K48" s="107"/>
    </row>
    <row r="49" spans="1:17" x14ac:dyDescent="0.15">
      <c r="A49" s="6">
        <v>43</v>
      </c>
      <c r="B49" s="7">
        <v>30.4</v>
      </c>
      <c r="C49" s="8">
        <v>48</v>
      </c>
      <c r="D49" s="9">
        <v>217</v>
      </c>
      <c r="E49" s="9">
        <v>68</v>
      </c>
      <c r="F49" s="7">
        <v>31.5</v>
      </c>
      <c r="G49" s="7">
        <v>85.1</v>
      </c>
      <c r="H49" s="7">
        <v>76</v>
      </c>
      <c r="I49" s="7">
        <v>88.2</v>
      </c>
      <c r="J49" s="7">
        <v>50</v>
      </c>
      <c r="K49" s="107"/>
    </row>
    <row r="50" spans="1:17" x14ac:dyDescent="0.15">
      <c r="A50" s="6">
        <v>44</v>
      </c>
      <c r="B50" s="7">
        <v>30.8</v>
      </c>
      <c r="C50" s="8">
        <v>41</v>
      </c>
      <c r="D50" s="9">
        <v>212</v>
      </c>
      <c r="E50" s="9">
        <v>73.25</v>
      </c>
      <c r="F50" s="7">
        <v>35.700000000000003</v>
      </c>
      <c r="G50" s="7">
        <v>96.6</v>
      </c>
      <c r="H50" s="7">
        <v>81.5</v>
      </c>
      <c r="I50" s="7">
        <v>97.2</v>
      </c>
      <c r="J50" s="7">
        <v>58.4</v>
      </c>
      <c r="K50" s="107"/>
    </row>
    <row r="51" spans="1:17" x14ac:dyDescent="0.15">
      <c r="A51" s="6">
        <v>45</v>
      </c>
      <c r="B51" s="7">
        <v>8.4</v>
      </c>
      <c r="C51" s="8">
        <v>39</v>
      </c>
      <c r="D51" s="9">
        <v>125.25</v>
      </c>
      <c r="E51" s="9">
        <v>67.5</v>
      </c>
      <c r="F51" s="7">
        <v>33.6</v>
      </c>
      <c r="G51" s="7">
        <v>88.2</v>
      </c>
      <c r="H51" s="7">
        <v>73.7</v>
      </c>
      <c r="I51" s="7">
        <v>88.5</v>
      </c>
      <c r="J51" s="7">
        <v>53.3</v>
      </c>
      <c r="K51" s="107"/>
    </row>
    <row r="52" spans="1:17" x14ac:dyDescent="0.15">
      <c r="A52" s="6">
        <v>46</v>
      </c>
      <c r="B52" s="7">
        <v>14.1</v>
      </c>
      <c r="C52" s="8">
        <v>43</v>
      </c>
      <c r="D52" s="9">
        <v>164.25</v>
      </c>
      <c r="E52" s="9">
        <v>71.25</v>
      </c>
      <c r="F52" s="7">
        <v>34.6</v>
      </c>
      <c r="G52" s="7">
        <v>89.8</v>
      </c>
      <c r="H52" s="7">
        <v>79.5</v>
      </c>
      <c r="I52" s="7">
        <v>92.7</v>
      </c>
      <c r="J52" s="7">
        <v>52.7</v>
      </c>
      <c r="K52" s="107"/>
    </row>
    <row r="53" spans="1:17" x14ac:dyDescent="0.15">
      <c r="A53" s="6">
        <v>47</v>
      </c>
      <c r="B53" s="7">
        <v>11.2</v>
      </c>
      <c r="C53" s="8">
        <v>40</v>
      </c>
      <c r="D53" s="9">
        <v>133.5</v>
      </c>
      <c r="E53" s="9">
        <v>68.5</v>
      </c>
      <c r="F53" s="7">
        <v>32.799999999999997</v>
      </c>
      <c r="G53" s="7">
        <v>92.3</v>
      </c>
      <c r="H53" s="7">
        <v>83.4</v>
      </c>
      <c r="I53" s="7">
        <v>90.4</v>
      </c>
      <c r="J53" s="7">
        <v>52</v>
      </c>
      <c r="K53" s="107"/>
    </row>
    <row r="54" spans="1:17" x14ac:dyDescent="0.15">
      <c r="A54" s="6">
        <v>48</v>
      </c>
      <c r="B54" s="7">
        <v>6.4</v>
      </c>
      <c r="C54" s="8">
        <v>39</v>
      </c>
      <c r="D54" s="9">
        <v>148.5</v>
      </c>
      <c r="E54" s="14">
        <v>66.75</v>
      </c>
      <c r="F54" s="12">
        <v>34</v>
      </c>
      <c r="G54" s="12">
        <v>83.4</v>
      </c>
      <c r="H54" s="12">
        <v>70.400000000000006</v>
      </c>
      <c r="I54" s="12">
        <v>87.2</v>
      </c>
      <c r="J54" s="12">
        <v>50.6</v>
      </c>
      <c r="K54" s="107"/>
    </row>
    <row r="55" spans="1:17" x14ac:dyDescent="0.15">
      <c r="A55" s="6">
        <v>49</v>
      </c>
      <c r="B55" s="7">
        <v>13.4</v>
      </c>
      <c r="C55" s="8">
        <v>45</v>
      </c>
      <c r="D55" s="9">
        <v>135.75</v>
      </c>
      <c r="K55" s="107"/>
    </row>
    <row r="56" spans="1:17" x14ac:dyDescent="0.15">
      <c r="A56" s="11">
        <v>50</v>
      </c>
      <c r="B56" s="12">
        <v>5</v>
      </c>
      <c r="C56" s="13">
        <v>47</v>
      </c>
      <c r="D56" s="14">
        <v>127.5</v>
      </c>
      <c r="K56" s="107"/>
    </row>
    <row r="58" spans="1:17" x14ac:dyDescent="0.15">
      <c r="D58" s="106"/>
      <c r="E58" s="106"/>
      <c r="F58" s="106"/>
      <c r="G58" s="106"/>
      <c r="H58" s="106"/>
      <c r="Q58" s="91"/>
    </row>
    <row r="59" spans="1:17" x14ac:dyDescent="0.15">
      <c r="D59" s="107"/>
      <c r="E59" s="107"/>
      <c r="F59" s="128"/>
      <c r="G59" s="107"/>
      <c r="H59" s="128"/>
    </row>
    <row r="60" spans="1:17" x14ac:dyDescent="0.15">
      <c r="D60" s="107"/>
      <c r="E60" s="107"/>
      <c r="F60" s="128"/>
      <c r="G60" s="106"/>
      <c r="H60" s="106"/>
    </row>
    <row r="61" spans="1:17" x14ac:dyDescent="0.15">
      <c r="D61" s="107"/>
      <c r="E61" s="107"/>
      <c r="F61" s="128"/>
      <c r="G61" s="107"/>
      <c r="H61" s="107"/>
    </row>
    <row r="62" spans="1:17" x14ac:dyDescent="0.15">
      <c r="D62" s="107"/>
      <c r="E62" s="107"/>
      <c r="F62" s="128"/>
      <c r="G62" s="107"/>
      <c r="H62" s="107"/>
    </row>
    <row r="63" spans="1:17" x14ac:dyDescent="0.15">
      <c r="D63" s="107"/>
      <c r="E63" s="107"/>
      <c r="F63" s="128"/>
      <c r="G63" s="107"/>
      <c r="H63" s="107"/>
    </row>
    <row r="64" spans="1:17" x14ac:dyDescent="0.15">
      <c r="D64" s="107"/>
      <c r="E64" s="107"/>
      <c r="F64" s="128"/>
      <c r="G64" s="107"/>
      <c r="H64" s="107"/>
    </row>
    <row r="65" spans="4:16" x14ac:dyDescent="0.15">
      <c r="D65" s="107"/>
      <c r="E65" s="107"/>
      <c r="F65" s="128"/>
      <c r="G65" s="107"/>
      <c r="H65" s="107"/>
      <c r="P65" s="91"/>
    </row>
    <row r="66" spans="4:16" x14ac:dyDescent="0.15">
      <c r="D66" s="107"/>
      <c r="E66" s="107"/>
      <c r="F66" s="128"/>
      <c r="G66" s="107"/>
      <c r="H66" s="107"/>
    </row>
    <row r="67" spans="4:16" x14ac:dyDescent="0.15">
      <c r="D67" s="107"/>
      <c r="E67" s="107"/>
      <c r="F67" s="128"/>
      <c r="G67" s="107"/>
      <c r="H67" s="107"/>
    </row>
    <row r="68" spans="4:16" x14ac:dyDescent="0.15">
      <c r="D68" s="107"/>
      <c r="E68" s="107"/>
      <c r="F68" s="128"/>
      <c r="G68" s="107"/>
      <c r="H68" s="107"/>
    </row>
    <row r="69" spans="4:16" x14ac:dyDescent="0.15">
      <c r="D69" s="107"/>
      <c r="E69" s="107"/>
      <c r="F69" s="128"/>
      <c r="G69" s="107"/>
      <c r="H69" s="107"/>
    </row>
    <row r="70" spans="4:16" x14ac:dyDescent="0.15">
      <c r="D70" s="107"/>
      <c r="E70" s="107"/>
      <c r="F70" s="128"/>
      <c r="G70" s="107"/>
      <c r="H70" s="107"/>
    </row>
    <row r="71" spans="4:16" x14ac:dyDescent="0.15">
      <c r="D71" s="107"/>
      <c r="E71" s="107"/>
      <c r="F71" s="128"/>
      <c r="G71" s="107"/>
      <c r="H71" s="107"/>
    </row>
    <row r="72" spans="4:16" x14ac:dyDescent="0.15">
      <c r="D72" s="107"/>
      <c r="E72" s="107"/>
      <c r="F72" s="128"/>
      <c r="G72" s="107"/>
      <c r="H72" s="107"/>
    </row>
    <row r="73" spans="4:16" x14ac:dyDescent="0.15">
      <c r="D73" s="107"/>
      <c r="E73" s="107"/>
      <c r="F73" s="128"/>
      <c r="G73" s="107"/>
      <c r="H73" s="107"/>
    </row>
    <row r="74" spans="4:16" x14ac:dyDescent="0.15">
      <c r="D74" s="107"/>
      <c r="E74" s="107"/>
      <c r="F74" s="128"/>
      <c r="G74" s="107"/>
      <c r="H74" s="107"/>
    </row>
    <row r="75" spans="4:16" x14ac:dyDescent="0.15">
      <c r="D75" s="107"/>
      <c r="E75" s="107"/>
      <c r="F75" s="128"/>
      <c r="G75" s="107"/>
      <c r="H75" s="107"/>
    </row>
    <row r="76" spans="4:16" x14ac:dyDescent="0.15">
      <c r="D76" s="107"/>
      <c r="E76" s="107"/>
      <c r="F76" s="128"/>
      <c r="G76" s="107"/>
      <c r="H76" s="107"/>
    </row>
    <row r="77" spans="4:16" x14ac:dyDescent="0.15">
      <c r="D77" s="107"/>
      <c r="E77" s="107"/>
      <c r="F77" s="128"/>
      <c r="G77" s="107"/>
      <c r="H77" s="107"/>
    </row>
    <row r="78" spans="4:16" x14ac:dyDescent="0.15">
      <c r="D78" s="107"/>
      <c r="E78" s="107"/>
      <c r="F78" s="128"/>
      <c r="G78" s="107"/>
      <c r="H78" s="107"/>
    </row>
    <row r="79" spans="4:16" x14ac:dyDescent="0.15">
      <c r="D79" s="107"/>
      <c r="E79" s="107"/>
      <c r="F79" s="128"/>
      <c r="G79" s="107"/>
      <c r="H79" s="107"/>
    </row>
    <row r="80" spans="4:16" x14ac:dyDescent="0.15">
      <c r="D80" s="107"/>
      <c r="E80" s="107"/>
      <c r="F80" s="128"/>
      <c r="G80" s="107"/>
      <c r="H80" s="107"/>
    </row>
    <row r="81" spans="4:8" x14ac:dyDescent="0.15">
      <c r="D81" s="107"/>
      <c r="E81" s="107"/>
      <c r="F81" s="128"/>
      <c r="G81" s="107"/>
      <c r="H81" s="107"/>
    </row>
    <row r="82" spans="4:8" x14ac:dyDescent="0.15">
      <c r="D82" s="107"/>
      <c r="E82" s="107"/>
      <c r="F82" s="128"/>
      <c r="G82" s="107"/>
      <c r="H82" s="107"/>
    </row>
    <row r="83" spans="4:8" x14ac:dyDescent="0.15">
      <c r="D83" s="107"/>
      <c r="E83" s="107"/>
      <c r="F83" s="128"/>
      <c r="G83" s="107"/>
      <c r="H83" s="107"/>
    </row>
    <row r="84" spans="4:8" x14ac:dyDescent="0.15">
      <c r="D84" s="107"/>
      <c r="E84" s="107"/>
      <c r="F84" s="128"/>
      <c r="G84" s="107"/>
      <c r="H84" s="107"/>
    </row>
    <row r="85" spans="4:8" x14ac:dyDescent="0.15">
      <c r="D85" s="107"/>
      <c r="E85" s="107"/>
      <c r="F85" s="128"/>
      <c r="G85" s="107"/>
      <c r="H85" s="107"/>
    </row>
    <row r="86" spans="4:8" x14ac:dyDescent="0.15">
      <c r="D86" s="107"/>
      <c r="E86" s="107"/>
      <c r="F86" s="128"/>
      <c r="G86" s="107"/>
      <c r="H86" s="107"/>
    </row>
    <row r="87" spans="4:8" x14ac:dyDescent="0.15">
      <c r="D87" s="107"/>
      <c r="E87" s="107"/>
      <c r="F87" s="128"/>
      <c r="G87" s="107"/>
      <c r="H87" s="107"/>
    </row>
    <row r="88" spans="4:8" x14ac:dyDescent="0.15">
      <c r="D88" s="107"/>
      <c r="E88" s="107"/>
      <c r="F88" s="128"/>
      <c r="G88" s="107"/>
      <c r="H88" s="107"/>
    </row>
    <row r="89" spans="4:8" x14ac:dyDescent="0.15">
      <c r="D89" s="107"/>
      <c r="E89" s="107"/>
      <c r="F89" s="128"/>
      <c r="G89" s="107"/>
      <c r="H89" s="107"/>
    </row>
    <row r="90" spans="4:8" x14ac:dyDescent="0.15">
      <c r="D90" s="107"/>
      <c r="E90" s="107"/>
      <c r="F90" s="128"/>
      <c r="G90" s="107"/>
      <c r="H90" s="107"/>
    </row>
    <row r="91" spans="4:8" x14ac:dyDescent="0.15">
      <c r="D91" s="107"/>
      <c r="E91" s="107"/>
      <c r="F91" s="128"/>
      <c r="G91" s="107"/>
      <c r="H91" s="107"/>
    </row>
    <row r="92" spans="4:8" x14ac:dyDescent="0.15">
      <c r="D92" s="107"/>
      <c r="E92" s="107"/>
      <c r="F92" s="128"/>
      <c r="G92" s="107"/>
      <c r="H92" s="107"/>
    </row>
    <row r="93" spans="4:8" x14ac:dyDescent="0.15">
      <c r="D93" s="107"/>
      <c r="E93" s="107"/>
      <c r="F93" s="128"/>
      <c r="G93" s="107"/>
      <c r="H93" s="107"/>
    </row>
    <row r="94" spans="4:8" x14ac:dyDescent="0.15">
      <c r="D94" s="107"/>
      <c r="E94" s="107"/>
      <c r="F94" s="128"/>
      <c r="G94" s="107"/>
      <c r="H94" s="107"/>
    </row>
    <row r="95" spans="4:8" x14ac:dyDescent="0.15">
      <c r="D95" s="107"/>
      <c r="E95" s="107"/>
      <c r="F95" s="128"/>
      <c r="G95" s="107"/>
      <c r="H95" s="107"/>
    </row>
    <row r="96" spans="4:8" x14ac:dyDescent="0.15">
      <c r="D96" s="107"/>
      <c r="E96" s="107"/>
      <c r="F96" s="128"/>
      <c r="G96" s="107"/>
      <c r="H96" s="107"/>
    </row>
    <row r="97" spans="4:11" x14ac:dyDescent="0.15">
      <c r="D97" s="107"/>
      <c r="E97" s="107"/>
      <c r="F97" s="128"/>
      <c r="G97" s="107"/>
      <c r="H97" s="107"/>
    </row>
    <row r="98" spans="4:11" x14ac:dyDescent="0.15">
      <c r="D98" s="107"/>
      <c r="E98" s="107"/>
      <c r="F98" s="128"/>
      <c r="G98" s="107"/>
      <c r="H98" s="107"/>
    </row>
    <row r="99" spans="4:11" x14ac:dyDescent="0.15">
      <c r="D99" s="107"/>
      <c r="E99" s="107"/>
      <c r="F99" s="128"/>
      <c r="G99" s="107"/>
      <c r="H99" s="107"/>
    </row>
    <row r="100" spans="4:11" x14ac:dyDescent="0.15">
      <c r="D100" s="107"/>
      <c r="E100" s="107"/>
      <c r="F100" s="128"/>
      <c r="G100" s="107"/>
      <c r="H100" s="107"/>
    </row>
    <row r="101" spans="4:11" x14ac:dyDescent="0.15">
      <c r="D101" s="107"/>
      <c r="E101" s="107"/>
      <c r="F101" s="128"/>
      <c r="G101" s="107"/>
      <c r="H101" s="107"/>
    </row>
    <row r="102" spans="4:11" x14ac:dyDescent="0.15">
      <c r="D102" s="107"/>
      <c r="E102" s="107"/>
      <c r="F102" s="128"/>
      <c r="G102" s="107"/>
      <c r="H102" s="107"/>
    </row>
    <row r="103" spans="4:11" x14ac:dyDescent="0.15">
      <c r="D103" s="107"/>
      <c r="E103" s="107"/>
      <c r="F103" s="128"/>
      <c r="G103" s="107"/>
      <c r="H103" s="107"/>
    </row>
    <row r="104" spans="4:11" x14ac:dyDescent="0.15">
      <c r="D104" s="107"/>
      <c r="E104" s="107"/>
      <c r="F104" s="128"/>
      <c r="G104" s="107"/>
      <c r="H104" s="107"/>
    </row>
    <row r="105" spans="4:11" x14ac:dyDescent="0.15">
      <c r="D105" s="107"/>
      <c r="E105" s="107"/>
      <c r="F105" s="128"/>
      <c r="G105" s="107"/>
      <c r="H105" s="107"/>
    </row>
    <row r="106" spans="4:11" x14ac:dyDescent="0.15">
      <c r="D106" s="107"/>
      <c r="E106" s="107"/>
      <c r="F106" s="128"/>
      <c r="G106" s="107"/>
      <c r="H106" s="107"/>
      <c r="J106" s="106"/>
      <c r="K106" s="106"/>
    </row>
    <row r="107" spans="4:11" x14ac:dyDescent="0.15">
      <c r="D107" s="107"/>
      <c r="E107" s="107"/>
      <c r="F107" s="128"/>
      <c r="G107" s="107"/>
      <c r="H107" s="107"/>
      <c r="J107" s="107"/>
      <c r="K107" s="128"/>
    </row>
    <row r="108" spans="4:11" x14ac:dyDescent="0.15">
      <c r="D108" s="107"/>
      <c r="E108" s="107"/>
      <c r="F108" s="128"/>
      <c r="G108" s="107"/>
      <c r="H108" s="107"/>
      <c r="J108" s="107"/>
      <c r="K108" s="128"/>
    </row>
    <row r="109" spans="4:11" x14ac:dyDescent="0.15">
      <c r="G109" s="107"/>
      <c r="H109" s="107"/>
      <c r="J109" s="107"/>
      <c r="K109" s="128"/>
    </row>
    <row r="110" spans="4:11" x14ac:dyDescent="0.15">
      <c r="G110" s="107"/>
      <c r="H110" s="107"/>
      <c r="J110" s="107"/>
      <c r="K110" s="128"/>
    </row>
    <row r="111" spans="4:11" x14ac:dyDescent="0.15">
      <c r="J111" s="107"/>
      <c r="K111" s="128"/>
    </row>
    <row r="112" spans="4:11" x14ac:dyDescent="0.15">
      <c r="J112" s="107"/>
      <c r="K112" s="128"/>
    </row>
    <row r="113" spans="10:11" x14ac:dyDescent="0.15">
      <c r="J113" s="107"/>
      <c r="K113" s="128"/>
    </row>
    <row r="114" spans="10:11" x14ac:dyDescent="0.15">
      <c r="J114" s="107"/>
      <c r="K114" s="128"/>
    </row>
    <row r="115" spans="10:11" x14ac:dyDescent="0.15">
      <c r="J115" s="107"/>
      <c r="K115" s="128"/>
    </row>
    <row r="116" spans="10:11" x14ac:dyDescent="0.15">
      <c r="J116" s="107"/>
      <c r="K116" s="128"/>
    </row>
    <row r="117" spans="10:11" x14ac:dyDescent="0.15">
      <c r="J117" s="107"/>
      <c r="K117" s="128"/>
    </row>
    <row r="118" spans="10:11" x14ac:dyDescent="0.15">
      <c r="J118" s="107"/>
      <c r="K118" s="128"/>
    </row>
    <row r="119" spans="10:11" x14ac:dyDescent="0.15">
      <c r="J119" s="107"/>
      <c r="K119" s="128"/>
    </row>
    <row r="120" spans="10:11" x14ac:dyDescent="0.15">
      <c r="J120" s="107"/>
      <c r="K120" s="128"/>
    </row>
    <row r="121" spans="10:11" x14ac:dyDescent="0.15">
      <c r="J121" s="107"/>
      <c r="K121" s="128"/>
    </row>
    <row r="122" spans="10:11" x14ac:dyDescent="0.15">
      <c r="J122" s="107"/>
      <c r="K122" s="128"/>
    </row>
    <row r="123" spans="10:11" x14ac:dyDescent="0.15">
      <c r="J123" s="107"/>
      <c r="K123" s="128"/>
    </row>
    <row r="124" spans="10:11" x14ac:dyDescent="0.15">
      <c r="J124" s="107"/>
      <c r="K124" s="128"/>
    </row>
    <row r="125" spans="10:11" x14ac:dyDescent="0.15">
      <c r="J125" s="107"/>
      <c r="K125" s="128"/>
    </row>
    <row r="126" spans="10:11" x14ac:dyDescent="0.15">
      <c r="J126" s="107"/>
      <c r="K126" s="128"/>
    </row>
    <row r="127" spans="10:11" x14ac:dyDescent="0.15">
      <c r="J127" s="107"/>
      <c r="K127" s="128"/>
    </row>
    <row r="128" spans="10:11" x14ac:dyDescent="0.15">
      <c r="J128" s="107"/>
      <c r="K128" s="128"/>
    </row>
    <row r="129" spans="10:11" x14ac:dyDescent="0.15">
      <c r="J129" s="107"/>
      <c r="K129" s="128"/>
    </row>
    <row r="130" spans="10:11" x14ac:dyDescent="0.15">
      <c r="J130" s="107"/>
      <c r="K130" s="128"/>
    </row>
    <row r="131" spans="10:11" x14ac:dyDescent="0.15">
      <c r="J131" s="107"/>
      <c r="K131" s="128"/>
    </row>
    <row r="132" spans="10:11" x14ac:dyDescent="0.15">
      <c r="J132" s="107"/>
      <c r="K132" s="128"/>
    </row>
    <row r="133" spans="10:11" x14ac:dyDescent="0.15">
      <c r="J133" s="107"/>
      <c r="K133" s="128"/>
    </row>
    <row r="134" spans="10:11" x14ac:dyDescent="0.15">
      <c r="J134" s="107"/>
      <c r="K134" s="128"/>
    </row>
    <row r="135" spans="10:11" x14ac:dyDescent="0.15">
      <c r="J135" s="107"/>
      <c r="K135" s="128"/>
    </row>
    <row r="136" spans="10:11" x14ac:dyDescent="0.15">
      <c r="J136" s="107"/>
      <c r="K136" s="128"/>
    </row>
    <row r="137" spans="10:11" x14ac:dyDescent="0.15">
      <c r="J137" s="107"/>
      <c r="K137" s="128"/>
    </row>
    <row r="138" spans="10:11" x14ac:dyDescent="0.15">
      <c r="J138" s="107"/>
      <c r="K138" s="128"/>
    </row>
    <row r="139" spans="10:11" x14ac:dyDescent="0.15">
      <c r="J139" s="107"/>
      <c r="K139" s="128"/>
    </row>
    <row r="140" spans="10:11" x14ac:dyDescent="0.15">
      <c r="J140" s="107"/>
      <c r="K140" s="128"/>
    </row>
    <row r="141" spans="10:11" x14ac:dyDescent="0.15">
      <c r="J141" s="107"/>
      <c r="K141" s="128"/>
    </row>
    <row r="142" spans="10:11" x14ac:dyDescent="0.15">
      <c r="J142" s="107"/>
      <c r="K142" s="128"/>
    </row>
    <row r="143" spans="10:11" x14ac:dyDescent="0.15">
      <c r="J143" s="107"/>
      <c r="K143" s="128"/>
    </row>
    <row r="144" spans="10:11" x14ac:dyDescent="0.15">
      <c r="J144" s="107"/>
      <c r="K144" s="128"/>
    </row>
    <row r="145" spans="10:11" x14ac:dyDescent="0.15">
      <c r="J145" s="107"/>
      <c r="K145" s="128"/>
    </row>
    <row r="146" spans="10:11" x14ac:dyDescent="0.15">
      <c r="J146" s="107"/>
      <c r="K146" s="128"/>
    </row>
    <row r="147" spans="10:11" x14ac:dyDescent="0.15">
      <c r="J147" s="107"/>
      <c r="K147" s="128"/>
    </row>
    <row r="148" spans="10:11" x14ac:dyDescent="0.15">
      <c r="J148" s="107"/>
      <c r="K148" s="128"/>
    </row>
    <row r="149" spans="10:11" x14ac:dyDescent="0.15">
      <c r="J149" s="107"/>
      <c r="K149" s="128"/>
    </row>
    <row r="150" spans="10:11" x14ac:dyDescent="0.15">
      <c r="J150" s="107"/>
      <c r="K150" s="128"/>
    </row>
    <row r="151" spans="10:11" x14ac:dyDescent="0.15">
      <c r="J151" s="107"/>
      <c r="K151" s="128"/>
    </row>
    <row r="152" spans="10:11" x14ac:dyDescent="0.15">
      <c r="J152" s="107"/>
      <c r="K152" s="128"/>
    </row>
    <row r="153" spans="10:11" x14ac:dyDescent="0.15">
      <c r="J153" s="107"/>
      <c r="K153" s="128"/>
    </row>
    <row r="154" spans="10:11" x14ac:dyDescent="0.15">
      <c r="J154" s="107"/>
      <c r="K154" s="128"/>
    </row>
    <row r="155" spans="10:11" x14ac:dyDescent="0.15">
      <c r="J155" s="107"/>
      <c r="K155" s="128"/>
    </row>
    <row r="156" spans="10:11" x14ac:dyDescent="0.15">
      <c r="J156" s="107"/>
      <c r="K156" s="128"/>
    </row>
  </sheetData>
  <mergeCells count="7">
    <mergeCell ref="AS7:AT7"/>
    <mergeCell ref="L7:M7"/>
    <mergeCell ref="L29:M29"/>
    <mergeCell ref="W7:X7"/>
    <mergeCell ref="W29:X29"/>
    <mergeCell ref="AH7:AI7"/>
    <mergeCell ref="AH29:AI29"/>
  </mergeCells>
  <conditionalFormatting sqref="P22:P23">
    <cfRule type="cellIs" dxfId="72" priority="38" operator="lessThan">
      <formula>0.05</formula>
    </cfRule>
    <cfRule type="cellIs" dxfId="71" priority="37" operator="greaterThan">
      <formula>0.05</formula>
    </cfRule>
  </conditionalFormatting>
  <conditionalFormatting sqref="P44:P45">
    <cfRule type="cellIs" dxfId="70" priority="40" operator="lessThan">
      <formula>0.05</formula>
    </cfRule>
    <cfRule type="cellIs" dxfId="69" priority="39" operator="greaterThan">
      <formula>0.05</formula>
    </cfRule>
  </conditionalFormatting>
  <conditionalFormatting sqref="Q16:Q17">
    <cfRule type="cellIs" dxfId="68" priority="36" operator="lessThan">
      <formula>0.05</formula>
    </cfRule>
    <cfRule type="cellIs" dxfId="67" priority="35" operator="greaterThan">
      <formula>0.05</formula>
    </cfRule>
  </conditionalFormatting>
  <conditionalFormatting sqref="Q38:Q39">
    <cfRule type="cellIs" dxfId="66" priority="44" operator="lessThan">
      <formula>0.05</formula>
    </cfRule>
    <cfRule type="cellIs" dxfId="65" priority="43" operator="greaterThan">
      <formula>0.05</formula>
    </cfRule>
  </conditionalFormatting>
  <conditionalFormatting sqref="AA22:AA23">
    <cfRule type="cellIs" dxfId="64" priority="30" operator="lessThan">
      <formula>0.05</formula>
    </cfRule>
    <cfRule type="cellIs" dxfId="63" priority="29" operator="greaterThan">
      <formula>0.05</formula>
    </cfRule>
  </conditionalFormatting>
  <conditionalFormatting sqref="AA24">
    <cfRule type="cellIs" dxfId="62" priority="53" operator="greaterThan">
      <formula>0.05</formula>
    </cfRule>
  </conditionalFormatting>
  <conditionalFormatting sqref="AA44:AA45">
    <cfRule type="cellIs" dxfId="61" priority="23" operator="greaterThan">
      <formula>0.05</formula>
    </cfRule>
    <cfRule type="cellIs" dxfId="60" priority="24" operator="lessThan">
      <formula>0.05</formula>
    </cfRule>
  </conditionalFormatting>
  <conditionalFormatting sqref="AB16:AB17">
    <cfRule type="cellIs" dxfId="59" priority="27" operator="greaterThan">
      <formula>0.05</formula>
    </cfRule>
    <cfRule type="cellIs" dxfId="58" priority="28" operator="lessThan">
      <formula>0.05</formula>
    </cfRule>
  </conditionalFormatting>
  <conditionalFormatting sqref="AB38:AB39">
    <cfRule type="cellIs" dxfId="57" priority="21" operator="greaterThan">
      <formula>0.05</formula>
    </cfRule>
    <cfRule type="cellIs" dxfId="56" priority="22" operator="lessThan">
      <formula>0.05</formula>
    </cfRule>
  </conditionalFormatting>
  <conditionalFormatting sqref="AL22:AL24">
    <cfRule type="cellIs" dxfId="55" priority="18" operator="lessThan">
      <formula>0.05</formula>
    </cfRule>
    <cfRule type="cellIs" dxfId="54" priority="17" operator="greaterThan">
      <formula>0.05</formula>
    </cfRule>
  </conditionalFormatting>
  <conditionalFormatting sqref="AL44:AL46">
    <cfRule type="cellIs" dxfId="53" priority="12" operator="lessThan">
      <formula>0.05</formula>
    </cfRule>
    <cfRule type="cellIs" dxfId="52" priority="11" operator="greaterThan">
      <formula>0.05</formula>
    </cfRule>
  </conditionalFormatting>
  <conditionalFormatting sqref="AM16:AM17">
    <cfRule type="cellIs" dxfId="51" priority="16" operator="lessThan">
      <formula>0.05</formula>
    </cfRule>
    <cfRule type="cellIs" dxfId="50" priority="15" operator="greaterThan">
      <formula>0.05</formula>
    </cfRule>
  </conditionalFormatting>
  <conditionalFormatting sqref="AM38:AM39">
    <cfRule type="cellIs" dxfId="49" priority="10" operator="lessThan">
      <formula>0.05</formula>
    </cfRule>
    <cfRule type="cellIs" dxfId="48" priority="9" operator="greaterThan">
      <formula>0.05</formula>
    </cfRule>
  </conditionalFormatting>
  <conditionalFormatting sqref="AW22:AW24">
    <cfRule type="cellIs" dxfId="47" priority="4" operator="lessThan">
      <formula>0.05</formula>
    </cfRule>
    <cfRule type="cellIs" dxfId="46" priority="3" operator="greaterThan">
      <formula>0.05</formula>
    </cfRule>
  </conditionalFormatting>
  <conditionalFormatting sqref="AX16:AX17">
    <cfRule type="cellIs" dxfId="45" priority="2" operator="lessThan">
      <formula>0.05</formula>
    </cfRule>
    <cfRule type="cellIs" dxfId="44" priority="1" operator="greaterThan">
      <formula>0.05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ED589-1614-44CA-A336-7182BC4845BE}">
  <dimension ref="A2:AQ108"/>
  <sheetViews>
    <sheetView topLeftCell="Q1" workbookViewId="0">
      <selection activeCell="AT36" sqref="AT36"/>
    </sheetView>
  </sheetViews>
  <sheetFormatPr baseColWidth="10" defaultColWidth="8.83203125" defaultRowHeight="13" x14ac:dyDescent="0.15"/>
  <cols>
    <col min="13" max="13" width="19.1640625" bestFit="1" customWidth="1"/>
    <col min="14" max="14" width="12.6640625" bestFit="1" customWidth="1"/>
    <col min="15" max="15" width="13.5" bestFit="1" customWidth="1"/>
    <col min="16" max="16" width="12.6640625" bestFit="1" customWidth="1"/>
    <col min="17" max="17" width="12.5" bestFit="1" customWidth="1"/>
    <col min="18" max="18" width="12.83203125" bestFit="1" customWidth="1"/>
    <col min="19" max="21" width="12.6640625" bestFit="1" customWidth="1"/>
    <col min="24" max="24" width="19.1640625" bestFit="1" customWidth="1"/>
    <col min="25" max="25" width="12.6640625" bestFit="1" customWidth="1"/>
    <col min="26" max="26" width="13.5" bestFit="1" customWidth="1"/>
    <col min="27" max="27" width="12.6640625" bestFit="1" customWidth="1"/>
    <col min="28" max="28" width="12.5" bestFit="1" customWidth="1"/>
    <col min="29" max="29" width="12.83203125" bestFit="1" customWidth="1"/>
    <col min="30" max="32" width="12.6640625" bestFit="1" customWidth="1"/>
    <col min="35" max="35" width="19.1640625" bestFit="1" customWidth="1"/>
    <col min="36" max="36" width="12.6640625" bestFit="1" customWidth="1"/>
    <col min="37" max="37" width="13.5" bestFit="1" customWidth="1"/>
    <col min="38" max="38" width="12.6640625" bestFit="1" customWidth="1"/>
    <col min="39" max="39" width="12.1640625" bestFit="1" customWidth="1"/>
    <col min="40" max="40" width="12.83203125" bestFit="1" customWidth="1"/>
    <col min="41" max="43" width="12.6640625" bestFit="1" customWidth="1"/>
  </cols>
  <sheetData>
    <row r="2" spans="1:40" ht="16" x14ac:dyDescent="0.2">
      <c r="A2" s="16" t="s">
        <v>0</v>
      </c>
    </row>
    <row r="4" spans="1:40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8" t="s">
        <v>10</v>
      </c>
      <c r="M4" t="s">
        <v>12</v>
      </c>
      <c r="X4" t="s">
        <v>12</v>
      </c>
      <c r="AI4" t="s">
        <v>12</v>
      </c>
    </row>
    <row r="5" spans="1:40" x14ac:dyDescent="0.15">
      <c r="A5" s="1">
        <v>1</v>
      </c>
      <c r="B5" s="2">
        <v>12.6</v>
      </c>
      <c r="C5" s="3">
        <v>23</v>
      </c>
      <c r="D5" s="4">
        <v>154.25</v>
      </c>
      <c r="E5" s="4">
        <v>67.75</v>
      </c>
      <c r="F5" s="2">
        <v>36.200000000000003</v>
      </c>
      <c r="G5" s="2">
        <v>93.1</v>
      </c>
      <c r="H5" s="2">
        <v>85.2</v>
      </c>
      <c r="I5" s="2">
        <v>94.5</v>
      </c>
      <c r="J5" s="2">
        <v>59</v>
      </c>
    </row>
    <row r="6" spans="1:40" x14ac:dyDescent="0.15">
      <c r="A6" s="6">
        <v>2</v>
      </c>
      <c r="B6" s="7">
        <v>6.9</v>
      </c>
      <c r="C6" s="8">
        <v>22</v>
      </c>
      <c r="D6" s="9">
        <v>173.25</v>
      </c>
      <c r="E6" s="9">
        <v>72.25</v>
      </c>
      <c r="F6" s="7">
        <v>38.5</v>
      </c>
      <c r="G6" s="7">
        <v>93.6</v>
      </c>
      <c r="H6" s="7">
        <v>83</v>
      </c>
      <c r="I6" s="7">
        <v>98.7</v>
      </c>
      <c r="J6" s="7">
        <v>58.7</v>
      </c>
      <c r="M6" s="249" t="s">
        <v>14</v>
      </c>
      <c r="N6" s="249"/>
      <c r="X6" s="249" t="s">
        <v>14</v>
      </c>
      <c r="Y6" s="249"/>
      <c r="AI6" s="249" t="s">
        <v>14</v>
      </c>
      <c r="AJ6" s="249"/>
    </row>
    <row r="7" spans="1:40" x14ac:dyDescent="0.15">
      <c r="A7" s="6">
        <v>3</v>
      </c>
      <c r="B7" s="7">
        <v>24.6</v>
      </c>
      <c r="C7" s="8">
        <v>22</v>
      </c>
      <c r="D7" s="9">
        <v>154</v>
      </c>
      <c r="E7" s="9">
        <v>66.25</v>
      </c>
      <c r="F7" s="7">
        <v>34</v>
      </c>
      <c r="G7" s="7">
        <v>95.8</v>
      </c>
      <c r="H7" s="7">
        <v>87.9</v>
      </c>
      <c r="I7" s="7">
        <v>99.2</v>
      </c>
      <c r="J7" s="7">
        <v>59.6</v>
      </c>
      <c r="M7" t="s">
        <v>15</v>
      </c>
      <c r="N7">
        <v>0.89592226351954996</v>
      </c>
      <c r="X7" t="s">
        <v>15</v>
      </c>
      <c r="Y7">
        <v>0.895996034858205</v>
      </c>
      <c r="AI7" t="s">
        <v>15</v>
      </c>
      <c r="AJ7">
        <v>0.89508949776144398</v>
      </c>
    </row>
    <row r="8" spans="1:40" x14ac:dyDescent="0.15">
      <c r="A8" s="6">
        <v>4</v>
      </c>
      <c r="B8" s="7">
        <v>10.9</v>
      </c>
      <c r="C8" s="8">
        <v>26</v>
      </c>
      <c r="D8" s="9">
        <v>184.75</v>
      </c>
      <c r="E8" s="9">
        <v>72.25</v>
      </c>
      <c r="F8" s="7">
        <v>37.4</v>
      </c>
      <c r="G8" s="7">
        <v>101.8</v>
      </c>
      <c r="H8" s="7">
        <v>86.4</v>
      </c>
      <c r="I8" s="7">
        <v>101.2</v>
      </c>
      <c r="J8" s="7">
        <v>60.1</v>
      </c>
      <c r="M8" t="s">
        <v>16</v>
      </c>
      <c r="N8">
        <v>0.80267670226999399</v>
      </c>
      <c r="X8" t="s">
        <v>16</v>
      </c>
      <c r="Y8">
        <v>0.80280889448162596</v>
      </c>
      <c r="AI8" t="s">
        <v>16</v>
      </c>
      <c r="AJ8">
        <v>0.80118520900283396</v>
      </c>
    </row>
    <row r="9" spans="1:40" x14ac:dyDescent="0.15">
      <c r="A9" s="6">
        <v>5</v>
      </c>
      <c r="B9" s="7">
        <v>27.8</v>
      </c>
      <c r="C9" s="8">
        <v>24</v>
      </c>
      <c r="D9" s="9">
        <v>184.25</v>
      </c>
      <c r="E9" s="9">
        <v>71.25</v>
      </c>
      <c r="F9" s="7">
        <v>34.4</v>
      </c>
      <c r="G9" s="7">
        <v>97.3</v>
      </c>
      <c r="H9" s="7">
        <v>100</v>
      </c>
      <c r="I9" s="7">
        <v>101.9</v>
      </c>
      <c r="J9" s="7">
        <v>63.2</v>
      </c>
      <c r="M9" t="s">
        <v>17</v>
      </c>
      <c r="N9" s="116">
        <v>0.78980779154847203</v>
      </c>
      <c r="X9" t="s">
        <v>17</v>
      </c>
      <c r="Y9" s="116">
        <v>0.78994860499129704</v>
      </c>
      <c r="AI9" t="s">
        <v>17</v>
      </c>
      <c r="AJ9" s="116">
        <v>0.78821902698127999</v>
      </c>
    </row>
    <row r="10" spans="1:40" x14ac:dyDescent="0.15">
      <c r="A10" s="6">
        <v>6</v>
      </c>
      <c r="B10" s="7">
        <v>20.6</v>
      </c>
      <c r="C10" s="8">
        <v>24</v>
      </c>
      <c r="D10" s="9">
        <v>210.25</v>
      </c>
      <c r="E10" s="9">
        <v>74.75</v>
      </c>
      <c r="F10" s="7">
        <v>39</v>
      </c>
      <c r="G10" s="7">
        <v>104.5</v>
      </c>
      <c r="H10" s="7">
        <v>94.4</v>
      </c>
      <c r="I10" s="7">
        <v>107.8</v>
      </c>
      <c r="J10" s="7">
        <v>66</v>
      </c>
      <c r="M10" t="s">
        <v>18</v>
      </c>
      <c r="N10">
        <v>4.1634797275813398</v>
      </c>
      <c r="X10" t="s">
        <v>18</v>
      </c>
      <c r="Y10">
        <v>4.1620848801177104</v>
      </c>
      <c r="AI10" t="s">
        <v>18</v>
      </c>
      <c r="AJ10">
        <v>4.1791852012830999</v>
      </c>
    </row>
    <row r="11" spans="1:40" x14ac:dyDescent="0.15">
      <c r="A11" s="6">
        <v>7</v>
      </c>
      <c r="B11" s="7">
        <v>19</v>
      </c>
      <c r="C11" s="8">
        <v>26</v>
      </c>
      <c r="D11" s="9">
        <v>181</v>
      </c>
      <c r="E11" s="9">
        <v>69.75</v>
      </c>
      <c r="F11" s="7">
        <v>36.4</v>
      </c>
      <c r="G11" s="7">
        <v>105.1</v>
      </c>
      <c r="H11" s="7">
        <v>90.7</v>
      </c>
      <c r="I11" s="7">
        <v>100.3</v>
      </c>
      <c r="J11" s="7">
        <v>58.4</v>
      </c>
      <c r="M11" s="118" t="s">
        <v>19</v>
      </c>
      <c r="N11" s="118">
        <v>50</v>
      </c>
      <c r="X11" s="118" t="s">
        <v>19</v>
      </c>
      <c r="Y11" s="118">
        <v>50</v>
      </c>
      <c r="AI11" s="118" t="s">
        <v>19</v>
      </c>
      <c r="AJ11" s="118">
        <v>50</v>
      </c>
    </row>
    <row r="12" spans="1:40" x14ac:dyDescent="0.15">
      <c r="A12" s="6">
        <v>8</v>
      </c>
      <c r="B12" s="7">
        <v>12.8</v>
      </c>
      <c r="C12" s="8">
        <v>25</v>
      </c>
      <c r="D12" s="9">
        <v>176</v>
      </c>
      <c r="E12" s="9">
        <v>72.5</v>
      </c>
      <c r="F12" s="7">
        <v>37.799999999999997</v>
      </c>
      <c r="G12" s="7">
        <v>99.6</v>
      </c>
      <c r="H12" s="7">
        <v>88.5</v>
      </c>
      <c r="I12" s="7">
        <v>97.1</v>
      </c>
      <c r="J12" s="7">
        <v>60</v>
      </c>
    </row>
    <row r="13" spans="1:40" x14ac:dyDescent="0.15">
      <c r="A13" s="6">
        <v>9</v>
      </c>
      <c r="B13" s="7">
        <v>5.0999999999999996</v>
      </c>
      <c r="C13" s="8">
        <v>25</v>
      </c>
      <c r="D13" s="9">
        <v>191</v>
      </c>
      <c r="E13" s="9">
        <v>74</v>
      </c>
      <c r="F13" s="7">
        <v>38.1</v>
      </c>
      <c r="G13" s="7">
        <v>100.9</v>
      </c>
      <c r="H13" s="7">
        <v>82.5</v>
      </c>
      <c r="I13" s="7">
        <v>99.9</v>
      </c>
      <c r="J13" s="7">
        <v>62.9</v>
      </c>
      <c r="M13" t="s">
        <v>20</v>
      </c>
      <c r="X13" t="s">
        <v>20</v>
      </c>
      <c r="AI13" t="s">
        <v>20</v>
      </c>
    </row>
    <row r="14" spans="1:40" x14ac:dyDescent="0.15">
      <c r="A14" s="6">
        <v>10</v>
      </c>
      <c r="B14" s="7">
        <v>12</v>
      </c>
      <c r="C14" s="8">
        <v>23</v>
      </c>
      <c r="D14" s="9">
        <v>198.25</v>
      </c>
      <c r="E14" s="9">
        <v>73.5</v>
      </c>
      <c r="F14" s="7">
        <v>42.1</v>
      </c>
      <c r="G14" s="7">
        <v>99.6</v>
      </c>
      <c r="H14" s="7">
        <v>88.6</v>
      </c>
      <c r="I14" s="7">
        <v>104.1</v>
      </c>
      <c r="J14" s="7">
        <v>63.1</v>
      </c>
      <c r="M14" s="178"/>
      <c r="N14" s="178" t="s">
        <v>21</v>
      </c>
      <c r="O14" s="178" t="s">
        <v>22</v>
      </c>
      <c r="P14" s="178" t="s">
        <v>23</v>
      </c>
      <c r="Q14" s="178" t="s">
        <v>24</v>
      </c>
      <c r="R14" s="178" t="s">
        <v>25</v>
      </c>
      <c r="X14" s="178"/>
      <c r="Y14" s="178" t="s">
        <v>21</v>
      </c>
      <c r="Z14" s="178" t="s">
        <v>22</v>
      </c>
      <c r="AA14" s="178" t="s">
        <v>23</v>
      </c>
      <c r="AB14" s="178" t="s">
        <v>24</v>
      </c>
      <c r="AC14" s="178" t="s">
        <v>25</v>
      </c>
      <c r="AI14" s="178"/>
      <c r="AJ14" s="178" t="s">
        <v>21</v>
      </c>
      <c r="AK14" s="178" t="s">
        <v>22</v>
      </c>
      <c r="AL14" s="178" t="s">
        <v>23</v>
      </c>
      <c r="AM14" s="178" t="s">
        <v>24</v>
      </c>
      <c r="AN14" s="178" t="s">
        <v>25</v>
      </c>
    </row>
    <row r="15" spans="1:40" x14ac:dyDescent="0.15">
      <c r="A15" s="6">
        <v>11</v>
      </c>
      <c r="B15" s="7">
        <v>7.5</v>
      </c>
      <c r="C15" s="8">
        <v>26</v>
      </c>
      <c r="D15" s="9">
        <v>186.25</v>
      </c>
      <c r="E15" s="9">
        <v>74.5</v>
      </c>
      <c r="F15" s="7">
        <v>38.5</v>
      </c>
      <c r="G15" s="7">
        <v>101.5</v>
      </c>
      <c r="H15" s="7">
        <v>83.6</v>
      </c>
      <c r="I15" s="7">
        <v>98.2</v>
      </c>
      <c r="J15" s="7">
        <v>59.7</v>
      </c>
      <c r="M15" t="s">
        <v>26</v>
      </c>
      <c r="N15">
        <v>3</v>
      </c>
      <c r="O15">
        <v>3243.6428816688799</v>
      </c>
      <c r="P15">
        <v>1081.21429388962</v>
      </c>
      <c r="Q15">
        <v>62.373321226604602</v>
      </c>
      <c r="R15">
        <v>3.3306690738754598E-16</v>
      </c>
      <c r="X15" t="s">
        <v>26</v>
      </c>
      <c r="Y15">
        <v>3</v>
      </c>
      <c r="Z15">
        <v>3244.1770747319902</v>
      </c>
      <c r="AA15">
        <v>1081.39235824399</v>
      </c>
      <c r="AB15">
        <v>62.4254139135329</v>
      </c>
      <c r="AC15">
        <v>3.3306690738754598E-16</v>
      </c>
      <c r="AI15" t="s">
        <v>26</v>
      </c>
      <c r="AJ15">
        <v>3</v>
      </c>
      <c r="AK15">
        <v>3237.6157084553101</v>
      </c>
      <c r="AL15">
        <v>1079.2052361517699</v>
      </c>
      <c r="AM15">
        <v>61.790371882099898</v>
      </c>
      <c r="AN15">
        <v>3.3306690738754598E-16</v>
      </c>
    </row>
    <row r="16" spans="1:40" x14ac:dyDescent="0.15">
      <c r="A16" s="6">
        <v>12</v>
      </c>
      <c r="B16" s="7">
        <v>8.5</v>
      </c>
      <c r="C16" s="8">
        <v>27</v>
      </c>
      <c r="D16" s="9">
        <v>216</v>
      </c>
      <c r="E16" s="9">
        <v>76</v>
      </c>
      <c r="F16" s="7">
        <v>39.4</v>
      </c>
      <c r="G16" s="7">
        <v>103.6</v>
      </c>
      <c r="H16" s="7">
        <v>90.9</v>
      </c>
      <c r="I16" s="7">
        <v>107.7</v>
      </c>
      <c r="J16" s="7">
        <v>66.2</v>
      </c>
      <c r="M16" t="s">
        <v>27</v>
      </c>
      <c r="N16">
        <v>46</v>
      </c>
      <c r="O16">
        <v>797.38991833111697</v>
      </c>
      <c r="P16">
        <v>17.334563441980801</v>
      </c>
      <c r="X16" t="s">
        <v>27</v>
      </c>
      <c r="Y16">
        <v>46</v>
      </c>
      <c r="Z16">
        <v>796.85572526800797</v>
      </c>
      <c r="AA16">
        <v>17.322950549304501</v>
      </c>
      <c r="AI16" t="s">
        <v>27</v>
      </c>
      <c r="AJ16">
        <v>46</v>
      </c>
      <c r="AK16">
        <v>803.41709154468799</v>
      </c>
      <c r="AL16">
        <v>17.465588946623601</v>
      </c>
    </row>
    <row r="17" spans="1:43" x14ac:dyDescent="0.15">
      <c r="A17" s="6">
        <v>13</v>
      </c>
      <c r="B17" s="7">
        <v>20.5</v>
      </c>
      <c r="C17" s="8">
        <v>32</v>
      </c>
      <c r="D17" s="9">
        <v>180.5</v>
      </c>
      <c r="E17" s="9">
        <v>69.5</v>
      </c>
      <c r="F17" s="7">
        <v>38.4</v>
      </c>
      <c r="G17" s="7">
        <v>102</v>
      </c>
      <c r="H17" s="7">
        <v>91.6</v>
      </c>
      <c r="I17" s="7">
        <v>103.9</v>
      </c>
      <c r="J17" s="7">
        <v>63.4</v>
      </c>
      <c r="M17" s="118" t="s">
        <v>28</v>
      </c>
      <c r="N17" s="118">
        <v>49</v>
      </c>
      <c r="O17" s="118">
        <v>4041.0328</v>
      </c>
      <c r="P17" s="118"/>
      <c r="Q17" s="118"/>
      <c r="R17" s="118"/>
      <c r="X17" s="118" t="s">
        <v>28</v>
      </c>
      <c r="Y17" s="118">
        <v>49</v>
      </c>
      <c r="Z17" s="118">
        <v>4041.0328</v>
      </c>
      <c r="AA17" s="118"/>
      <c r="AB17" s="118"/>
      <c r="AC17" s="118"/>
      <c r="AI17" s="118" t="s">
        <v>28</v>
      </c>
      <c r="AJ17" s="118">
        <v>49</v>
      </c>
      <c r="AK17" s="118">
        <v>4041.0328</v>
      </c>
      <c r="AL17" s="118"/>
      <c r="AM17" s="118"/>
      <c r="AN17" s="118"/>
    </row>
    <row r="18" spans="1:43" x14ac:dyDescent="0.15">
      <c r="A18" s="6">
        <v>14</v>
      </c>
      <c r="B18" s="7">
        <v>20.8</v>
      </c>
      <c r="C18" s="8">
        <v>30</v>
      </c>
      <c r="D18" s="9">
        <v>205.25</v>
      </c>
      <c r="E18" s="9">
        <v>71.25</v>
      </c>
      <c r="F18" s="7">
        <v>39.4</v>
      </c>
      <c r="G18" s="7">
        <v>104.1</v>
      </c>
      <c r="H18" s="7">
        <v>101.8</v>
      </c>
      <c r="I18" s="7">
        <v>108.6</v>
      </c>
      <c r="J18" s="7">
        <v>66</v>
      </c>
      <c r="M18" s="118"/>
      <c r="N18" s="118"/>
      <c r="O18" s="118"/>
      <c r="P18" s="118"/>
      <c r="Q18" s="118"/>
      <c r="R18" s="118"/>
      <c r="S18" s="118"/>
      <c r="T18" s="118"/>
      <c r="U18" s="118"/>
      <c r="X18" s="118"/>
      <c r="Y18" s="118"/>
      <c r="Z18" s="118"/>
      <c r="AA18" s="118"/>
      <c r="AB18" s="118"/>
      <c r="AC18" s="118"/>
      <c r="AD18" s="118"/>
      <c r="AE18" s="118"/>
      <c r="AF18" s="118"/>
      <c r="AI18" s="118"/>
      <c r="AJ18" s="118"/>
      <c r="AK18" s="118"/>
      <c r="AL18" s="118"/>
      <c r="AM18" s="118"/>
      <c r="AN18" s="118"/>
      <c r="AO18" s="118"/>
      <c r="AP18" s="118"/>
      <c r="AQ18" s="118"/>
    </row>
    <row r="19" spans="1:43" x14ac:dyDescent="0.15">
      <c r="A19" s="6">
        <v>15</v>
      </c>
      <c r="B19" s="7">
        <v>21.7</v>
      </c>
      <c r="C19" s="8">
        <v>35</v>
      </c>
      <c r="D19" s="9">
        <v>187.75</v>
      </c>
      <c r="E19" s="9">
        <v>69.5</v>
      </c>
      <c r="F19" s="7">
        <v>40.5</v>
      </c>
      <c r="G19" s="7">
        <v>101.3</v>
      </c>
      <c r="H19" s="7">
        <v>96.4</v>
      </c>
      <c r="I19" s="7">
        <v>100.1</v>
      </c>
      <c r="J19" s="7">
        <v>69</v>
      </c>
      <c r="M19" s="117"/>
      <c r="N19" s="178" t="s">
        <v>29</v>
      </c>
      <c r="O19" s="178" t="s">
        <v>18</v>
      </c>
      <c r="P19" s="178" t="s">
        <v>30</v>
      </c>
      <c r="Q19" s="178" t="s">
        <v>31</v>
      </c>
      <c r="R19" s="178" t="s">
        <v>32</v>
      </c>
      <c r="S19" s="178" t="s">
        <v>33</v>
      </c>
      <c r="T19" s="178" t="s">
        <v>32</v>
      </c>
      <c r="U19" s="178" t="s">
        <v>33</v>
      </c>
      <c r="X19" s="117"/>
      <c r="Y19" s="178" t="s">
        <v>29</v>
      </c>
      <c r="Z19" s="178" t="s">
        <v>18</v>
      </c>
      <c r="AA19" s="178" t="s">
        <v>30</v>
      </c>
      <c r="AB19" s="178" t="s">
        <v>31</v>
      </c>
      <c r="AC19" s="178" t="s">
        <v>32</v>
      </c>
      <c r="AD19" s="178" t="s">
        <v>33</v>
      </c>
      <c r="AE19" s="178" t="s">
        <v>32</v>
      </c>
      <c r="AF19" s="178" t="s">
        <v>33</v>
      </c>
      <c r="AI19" s="117"/>
      <c r="AJ19" s="178" t="s">
        <v>29</v>
      </c>
      <c r="AK19" s="178" t="s">
        <v>18</v>
      </c>
      <c r="AL19" s="178" t="s">
        <v>30</v>
      </c>
      <c r="AM19" s="178" t="s">
        <v>31</v>
      </c>
      <c r="AN19" s="178" t="s">
        <v>32</v>
      </c>
      <c r="AO19" s="178" t="s">
        <v>33</v>
      </c>
      <c r="AP19" s="178" t="s">
        <v>32</v>
      </c>
      <c r="AQ19" s="178" t="s">
        <v>33</v>
      </c>
    </row>
    <row r="20" spans="1:43" x14ac:dyDescent="0.15">
      <c r="A20" s="6">
        <v>16</v>
      </c>
      <c r="B20" s="7">
        <v>20.5</v>
      </c>
      <c r="C20" s="8">
        <v>35</v>
      </c>
      <c r="D20" s="9">
        <v>162.75</v>
      </c>
      <c r="E20" s="9">
        <v>66</v>
      </c>
      <c r="F20" s="7">
        <v>36.4</v>
      </c>
      <c r="G20" s="7">
        <v>99.1</v>
      </c>
      <c r="H20" s="7">
        <v>92.8</v>
      </c>
      <c r="I20" s="7">
        <v>99.2</v>
      </c>
      <c r="J20" s="7">
        <v>63.1</v>
      </c>
      <c r="M20" t="s">
        <v>36</v>
      </c>
      <c r="N20">
        <v>-39.591775780768202</v>
      </c>
      <c r="O20">
        <v>4.2423292826864003</v>
      </c>
      <c r="P20">
        <v>-9.3325560423488003</v>
      </c>
      <c r="Q20">
        <v>3.4931279194913799E-12</v>
      </c>
      <c r="R20">
        <v>-48.131141589131701</v>
      </c>
      <c r="S20">
        <v>-31.0524099724047</v>
      </c>
      <c r="T20">
        <v>-48.131141589131701</v>
      </c>
      <c r="U20">
        <v>-31.0524099724047</v>
      </c>
      <c r="X20" t="s">
        <v>36</v>
      </c>
      <c r="Y20">
        <v>-33.269451526107297</v>
      </c>
      <c r="Z20">
        <v>10.912228004400401</v>
      </c>
      <c r="AA20">
        <v>-3.0488229821344501</v>
      </c>
      <c r="AB20">
        <v>3.8019781348490999E-3</v>
      </c>
      <c r="AC20">
        <v>-55.234626906090199</v>
      </c>
      <c r="AD20">
        <v>-11.304276146124399</v>
      </c>
      <c r="AE20">
        <v>-55.234626906090199</v>
      </c>
      <c r="AF20">
        <v>-11.304276146124399</v>
      </c>
      <c r="AI20" t="s">
        <v>36</v>
      </c>
      <c r="AJ20">
        <v>-40.665013884288697</v>
      </c>
      <c r="AK20">
        <v>12.380396425663401</v>
      </c>
      <c r="AL20">
        <v>-3.28462938391809</v>
      </c>
      <c r="AM20">
        <v>1.9572888075355E-3</v>
      </c>
      <c r="AN20">
        <v>-65.585458971556903</v>
      </c>
      <c r="AO20">
        <v>-15.7445687970205</v>
      </c>
      <c r="AP20">
        <v>-65.585458971556903</v>
      </c>
      <c r="AQ20">
        <v>-15.7445687970205</v>
      </c>
    </row>
    <row r="21" spans="1:43" x14ac:dyDescent="0.15">
      <c r="A21" s="6">
        <v>17</v>
      </c>
      <c r="B21" s="7">
        <v>28.1</v>
      </c>
      <c r="C21" s="8">
        <v>34</v>
      </c>
      <c r="D21" s="9">
        <v>195.75</v>
      </c>
      <c r="E21" s="9">
        <v>71</v>
      </c>
      <c r="F21" s="7">
        <v>38.9</v>
      </c>
      <c r="G21" s="7">
        <v>101.9</v>
      </c>
      <c r="H21" s="7">
        <v>96.4</v>
      </c>
      <c r="I21" s="7">
        <v>105.2</v>
      </c>
      <c r="J21" s="7">
        <v>64.8</v>
      </c>
      <c r="M21" t="s">
        <v>8</v>
      </c>
      <c r="N21">
        <v>0.97524223715971303</v>
      </c>
      <c r="O21">
        <v>0.118038365732093</v>
      </c>
      <c r="P21">
        <v>8.2620784446742892</v>
      </c>
      <c r="Q21">
        <v>1.2185707062918701E-10</v>
      </c>
      <c r="R21">
        <v>0.73764333400020599</v>
      </c>
      <c r="S21">
        <v>1.2128411403192201</v>
      </c>
      <c r="T21">
        <v>0.73764333400020599</v>
      </c>
      <c r="U21">
        <v>1.2128411403192201</v>
      </c>
      <c r="X21" t="s">
        <v>8</v>
      </c>
      <c r="Y21">
        <v>1.00281385565657</v>
      </c>
      <c r="Z21">
        <v>0.10227069936078299</v>
      </c>
      <c r="AA21">
        <v>9.8054854608837605</v>
      </c>
      <c r="AB21">
        <v>7.5734883563446501E-13</v>
      </c>
      <c r="AC21">
        <v>0.79695361824335098</v>
      </c>
      <c r="AD21">
        <v>1.2086740930697999</v>
      </c>
      <c r="AE21">
        <v>0.79695361824335098</v>
      </c>
      <c r="AF21">
        <v>1.2086740930697999</v>
      </c>
      <c r="AI21" t="s">
        <v>8</v>
      </c>
      <c r="AJ21">
        <v>1.00458937109117</v>
      </c>
      <c r="AK21">
        <v>0.123430228325147</v>
      </c>
      <c r="AL21">
        <v>8.1389250001613807</v>
      </c>
      <c r="AM21">
        <v>1.84705293814131E-10</v>
      </c>
      <c r="AN21">
        <v>0.75613721161833902</v>
      </c>
      <c r="AO21">
        <v>1.2530415305639999</v>
      </c>
      <c r="AP21">
        <v>0.75613721161833902</v>
      </c>
      <c r="AQ21">
        <v>1.2530415305639999</v>
      </c>
    </row>
    <row r="22" spans="1:43" x14ac:dyDescent="0.15">
      <c r="A22" s="6">
        <v>18</v>
      </c>
      <c r="B22" s="7">
        <v>22.4</v>
      </c>
      <c r="C22" s="8">
        <v>32</v>
      </c>
      <c r="D22" s="9">
        <v>209.25</v>
      </c>
      <c r="E22" s="9">
        <v>71</v>
      </c>
      <c r="F22" s="7">
        <v>42.1</v>
      </c>
      <c r="G22" s="7">
        <v>107.6</v>
      </c>
      <c r="H22" s="7">
        <v>97.5</v>
      </c>
      <c r="I22" s="7">
        <v>107</v>
      </c>
      <c r="J22" s="7">
        <v>66.900000000000006</v>
      </c>
      <c r="M22" t="s">
        <v>4</v>
      </c>
      <c r="N22">
        <v>-0.18629644465613601</v>
      </c>
      <c r="O22">
        <v>3.9570883155831599E-2</v>
      </c>
      <c r="P22">
        <v>-4.7079172815651802</v>
      </c>
      <c r="Q22">
        <v>2.3259417334585901E-5</v>
      </c>
      <c r="R22">
        <v>-0.26594849995668002</v>
      </c>
      <c r="S22">
        <v>-0.10664438935559201</v>
      </c>
      <c r="T22">
        <v>-0.26594849995668002</v>
      </c>
      <c r="U22">
        <v>-0.10664438935559201</v>
      </c>
      <c r="X22" t="s">
        <v>4</v>
      </c>
      <c r="Y22">
        <v>-0.175159361984984</v>
      </c>
      <c r="Z22">
        <v>4.8856570389916601E-2</v>
      </c>
      <c r="AA22">
        <v>-3.5851751481339198</v>
      </c>
      <c r="AB22">
        <v>8.1145801682363399E-4</v>
      </c>
      <c r="AC22">
        <v>-0.27350253595882801</v>
      </c>
      <c r="AD22">
        <v>-7.6816188011141595E-2</v>
      </c>
      <c r="AE22">
        <v>-0.27350253595882801</v>
      </c>
      <c r="AF22">
        <v>-7.6816188011141595E-2</v>
      </c>
      <c r="AI22" t="s">
        <v>4</v>
      </c>
      <c r="AJ22">
        <v>-0.19909507004108901</v>
      </c>
      <c r="AK22">
        <v>5.29706335048803E-2</v>
      </c>
      <c r="AL22">
        <v>-3.7585933349795702</v>
      </c>
      <c r="AM22">
        <v>4.8060825177816097E-4</v>
      </c>
      <c r="AN22">
        <v>-0.30571942342284603</v>
      </c>
      <c r="AO22">
        <v>-9.2470716659332305E-2</v>
      </c>
      <c r="AP22">
        <v>-0.30571942342284603</v>
      </c>
      <c r="AQ22">
        <v>-9.2470716659332305E-2</v>
      </c>
    </row>
    <row r="23" spans="1:43" x14ac:dyDescent="0.15">
      <c r="A23" s="6">
        <v>19</v>
      </c>
      <c r="B23" s="7">
        <v>16.100000000000001</v>
      </c>
      <c r="C23" s="8">
        <v>28</v>
      </c>
      <c r="D23" s="9">
        <v>183.75</v>
      </c>
      <c r="E23" s="9">
        <v>67.75</v>
      </c>
      <c r="F23" s="7">
        <v>38</v>
      </c>
      <c r="G23" s="7">
        <v>106.8</v>
      </c>
      <c r="H23" s="7">
        <v>89.6</v>
      </c>
      <c r="I23" s="7">
        <v>102.4</v>
      </c>
      <c r="J23" s="7">
        <v>64.2</v>
      </c>
      <c r="M23" s="119" t="s">
        <v>3</v>
      </c>
      <c r="N23" s="118">
        <v>5.1092823467140301E-2</v>
      </c>
      <c r="O23" s="118">
        <v>8.5485762624726597E-2</v>
      </c>
      <c r="P23" s="118">
        <v>0.59767640713965897</v>
      </c>
      <c r="Q23" s="118">
        <v>0.55298700974142101</v>
      </c>
      <c r="R23" s="118">
        <v>-0.120981089191805</v>
      </c>
      <c r="S23" s="118">
        <v>0.22316673612608601</v>
      </c>
      <c r="T23" s="118">
        <v>-0.120981089191805</v>
      </c>
      <c r="U23" s="118">
        <v>0.22316673612608601</v>
      </c>
      <c r="X23" s="119" t="s">
        <v>6</v>
      </c>
      <c r="Y23" s="118">
        <v>-0.241537614258788</v>
      </c>
      <c r="Z23" s="118">
        <v>0.38761851315232398</v>
      </c>
      <c r="AA23" s="118">
        <v>-0.62313229648004598</v>
      </c>
      <c r="AB23" s="118">
        <v>0.53627504478756904</v>
      </c>
      <c r="AC23" s="118">
        <v>-1.0217732012063501</v>
      </c>
      <c r="AD23" s="118">
        <v>0.53869797268877295</v>
      </c>
      <c r="AE23" s="118">
        <v>-1.0217732012063501</v>
      </c>
      <c r="AF23" s="118">
        <v>0.53869797268877295</v>
      </c>
      <c r="AI23" s="119" t="s">
        <v>9</v>
      </c>
      <c r="AJ23" s="118">
        <v>2.3870631788724901E-2</v>
      </c>
      <c r="AK23" s="118">
        <v>0.245570001872851</v>
      </c>
      <c r="AL23" s="118">
        <v>9.7204999009139606E-2</v>
      </c>
      <c r="AM23" s="118">
        <v>0.92298589642623297</v>
      </c>
      <c r="AN23" s="118">
        <v>-0.47043613645555499</v>
      </c>
      <c r="AO23" s="118">
        <v>0.51817740003300505</v>
      </c>
      <c r="AP23" s="118">
        <v>-0.47043613645555499</v>
      </c>
      <c r="AQ23" s="118">
        <v>0.51817740003300505</v>
      </c>
    </row>
    <row r="24" spans="1:43" x14ac:dyDescent="0.15">
      <c r="A24" s="6">
        <v>20</v>
      </c>
      <c r="B24" s="7">
        <v>16.5</v>
      </c>
      <c r="C24" s="8">
        <v>33</v>
      </c>
      <c r="D24" s="9">
        <v>211.75</v>
      </c>
      <c r="E24" s="9">
        <v>73.5</v>
      </c>
      <c r="F24" s="7">
        <v>40</v>
      </c>
      <c r="G24" s="7">
        <v>106.2</v>
      </c>
      <c r="H24" s="7">
        <v>100.5</v>
      </c>
      <c r="I24" s="7">
        <v>109</v>
      </c>
      <c r="J24" s="7">
        <v>65.8</v>
      </c>
    </row>
    <row r="25" spans="1:43" x14ac:dyDescent="0.15">
      <c r="A25" s="6">
        <v>21</v>
      </c>
      <c r="B25" s="7">
        <v>19</v>
      </c>
      <c r="C25" s="8">
        <v>28</v>
      </c>
      <c r="D25" s="9">
        <v>179</v>
      </c>
      <c r="E25" s="9">
        <v>68</v>
      </c>
      <c r="F25" s="7">
        <v>39.1</v>
      </c>
      <c r="G25" s="7">
        <v>103.3</v>
      </c>
      <c r="H25" s="7">
        <v>95.9</v>
      </c>
      <c r="I25" s="7">
        <v>104.9</v>
      </c>
      <c r="J25" s="7">
        <v>63.5</v>
      </c>
    </row>
    <row r="26" spans="1:43" x14ac:dyDescent="0.15">
      <c r="A26" s="6">
        <v>22</v>
      </c>
      <c r="B26" s="7">
        <v>15.3</v>
      </c>
      <c r="C26" s="8">
        <v>28</v>
      </c>
      <c r="D26" s="9">
        <v>200.5</v>
      </c>
      <c r="E26" s="9">
        <v>69.75</v>
      </c>
      <c r="F26" s="7">
        <v>41.3</v>
      </c>
      <c r="G26" s="7">
        <v>111.4</v>
      </c>
      <c r="H26" s="7">
        <v>98.8</v>
      </c>
      <c r="I26" s="7">
        <v>104.8</v>
      </c>
      <c r="J26" s="7">
        <v>63.4</v>
      </c>
    </row>
    <row r="27" spans="1:43" x14ac:dyDescent="0.15">
      <c r="A27" s="6">
        <v>23</v>
      </c>
      <c r="B27" s="7">
        <v>15.7</v>
      </c>
      <c r="C27" s="8">
        <v>31</v>
      </c>
      <c r="D27" s="9">
        <v>140.25</v>
      </c>
      <c r="E27" s="9">
        <v>68.25</v>
      </c>
      <c r="F27" s="7">
        <v>33.9</v>
      </c>
      <c r="G27" s="7">
        <v>86</v>
      </c>
      <c r="H27" s="7">
        <v>76.400000000000006</v>
      </c>
      <c r="I27" s="7">
        <v>94.6</v>
      </c>
      <c r="J27" s="7">
        <v>57.4</v>
      </c>
      <c r="M27" t="s">
        <v>12</v>
      </c>
      <c r="X27" t="s">
        <v>12</v>
      </c>
      <c r="AI27" t="s">
        <v>12</v>
      </c>
    </row>
    <row r="28" spans="1:43" x14ac:dyDescent="0.15">
      <c r="A28" s="6">
        <v>24</v>
      </c>
      <c r="B28" s="7">
        <v>17.600000000000001</v>
      </c>
      <c r="C28" s="8">
        <v>32</v>
      </c>
      <c r="D28" s="9">
        <v>148.75</v>
      </c>
      <c r="E28" s="9">
        <v>70</v>
      </c>
      <c r="F28" s="7">
        <v>35.5</v>
      </c>
      <c r="G28" s="7">
        <v>86.7</v>
      </c>
      <c r="H28" s="7">
        <v>80</v>
      </c>
      <c r="I28" s="7">
        <v>93.4</v>
      </c>
      <c r="J28" s="7">
        <v>54.9</v>
      </c>
    </row>
    <row r="29" spans="1:43" x14ac:dyDescent="0.15">
      <c r="A29" s="6">
        <v>25</v>
      </c>
      <c r="B29" s="7">
        <v>14.2</v>
      </c>
      <c r="C29" s="8">
        <v>28</v>
      </c>
      <c r="D29" s="9">
        <v>151.25</v>
      </c>
      <c r="E29" s="9">
        <v>67.75</v>
      </c>
      <c r="F29" s="7">
        <v>34.5</v>
      </c>
      <c r="G29" s="7">
        <v>90.2</v>
      </c>
      <c r="H29" s="7">
        <v>76.3</v>
      </c>
      <c r="I29" s="7">
        <v>95.8</v>
      </c>
      <c r="J29" s="7">
        <v>58.4</v>
      </c>
      <c r="M29" s="249" t="s">
        <v>14</v>
      </c>
      <c r="N29" s="249"/>
      <c r="X29" s="249" t="s">
        <v>14</v>
      </c>
      <c r="Y29" s="249"/>
      <c r="AI29" s="249" t="s">
        <v>14</v>
      </c>
      <c r="AJ29" s="249"/>
    </row>
    <row r="30" spans="1:43" x14ac:dyDescent="0.15">
      <c r="A30" s="6">
        <v>26</v>
      </c>
      <c r="B30" s="7">
        <v>4.5999999999999996</v>
      </c>
      <c r="C30" s="8">
        <v>27</v>
      </c>
      <c r="D30" s="9">
        <v>159.25</v>
      </c>
      <c r="E30" s="9">
        <v>71.5</v>
      </c>
      <c r="F30" s="7">
        <v>35.700000000000003</v>
      </c>
      <c r="G30" s="7">
        <v>89.6</v>
      </c>
      <c r="H30" s="7">
        <v>79.7</v>
      </c>
      <c r="I30" s="7">
        <v>96.5</v>
      </c>
      <c r="J30" s="7">
        <v>55</v>
      </c>
      <c r="M30" t="s">
        <v>15</v>
      </c>
      <c r="N30">
        <v>0.90007140960240595</v>
      </c>
      <c r="X30" t="s">
        <v>15</v>
      </c>
      <c r="Y30">
        <v>0.89559359736386901</v>
      </c>
      <c r="AI30" t="s">
        <v>15</v>
      </c>
      <c r="AJ30">
        <v>0.90984456976382999</v>
      </c>
    </row>
    <row r="31" spans="1:43" x14ac:dyDescent="0.15">
      <c r="A31" s="6">
        <v>27</v>
      </c>
      <c r="B31" s="7">
        <v>8.5</v>
      </c>
      <c r="C31" s="8">
        <v>34</v>
      </c>
      <c r="D31" s="9">
        <v>131.5</v>
      </c>
      <c r="E31" s="9">
        <v>67.5</v>
      </c>
      <c r="F31" s="7">
        <v>36.200000000000003</v>
      </c>
      <c r="G31" s="7">
        <v>88.6</v>
      </c>
      <c r="H31" s="7">
        <v>74.599999999999994</v>
      </c>
      <c r="I31" s="7">
        <v>85.3</v>
      </c>
      <c r="J31" s="7">
        <v>51.7</v>
      </c>
      <c r="M31" t="s">
        <v>16</v>
      </c>
      <c r="N31">
        <v>0.81012854238366305</v>
      </c>
      <c r="X31" t="s">
        <v>16</v>
      </c>
      <c r="Y31">
        <v>0.80208789163915595</v>
      </c>
      <c r="AI31" t="s">
        <v>16</v>
      </c>
      <c r="AJ31">
        <v>0.82781714112872895</v>
      </c>
    </row>
    <row r="32" spans="1:43" x14ac:dyDescent="0.15">
      <c r="A32" s="6">
        <v>28</v>
      </c>
      <c r="B32" s="7">
        <v>22.4</v>
      </c>
      <c r="C32" s="8">
        <v>31</v>
      </c>
      <c r="D32" s="9">
        <v>148</v>
      </c>
      <c r="E32" s="9">
        <v>67.5</v>
      </c>
      <c r="F32" s="7">
        <v>38.799999999999997</v>
      </c>
      <c r="G32" s="7">
        <v>97.4</v>
      </c>
      <c r="H32" s="7">
        <v>88.7</v>
      </c>
      <c r="I32" s="7">
        <v>94.7</v>
      </c>
      <c r="J32" s="7">
        <v>57.5</v>
      </c>
      <c r="M32" t="s">
        <v>17</v>
      </c>
      <c r="N32" s="116">
        <v>0.797745621234771</v>
      </c>
      <c r="X32" t="s">
        <v>17</v>
      </c>
      <c r="Y32" s="116">
        <v>0.78918058022431803</v>
      </c>
      <c r="AI32" t="s">
        <v>17</v>
      </c>
      <c r="AJ32" s="116">
        <v>0.81658782424581999</v>
      </c>
    </row>
    <row r="33" spans="1:43" x14ac:dyDescent="0.15">
      <c r="A33" s="6">
        <v>29</v>
      </c>
      <c r="B33" s="7">
        <v>4.7</v>
      </c>
      <c r="C33" s="8">
        <v>27</v>
      </c>
      <c r="D33" s="9">
        <v>133.25</v>
      </c>
      <c r="E33" s="9">
        <v>64.75</v>
      </c>
      <c r="F33" s="7">
        <v>36.4</v>
      </c>
      <c r="G33" s="7">
        <v>93.5</v>
      </c>
      <c r="H33" s="7">
        <v>73.900000000000006</v>
      </c>
      <c r="I33" s="7">
        <v>88.5</v>
      </c>
      <c r="J33" s="7">
        <v>50.1</v>
      </c>
      <c r="M33" t="s">
        <v>18</v>
      </c>
      <c r="N33">
        <v>4.0841070228584098</v>
      </c>
      <c r="X33" t="s">
        <v>18</v>
      </c>
      <c r="Y33">
        <v>4.1696869901377998</v>
      </c>
      <c r="AI33" t="s">
        <v>18</v>
      </c>
      <c r="AJ33">
        <v>3.8892174810806002</v>
      </c>
    </row>
    <row r="34" spans="1:43" x14ac:dyDescent="0.15">
      <c r="A34" s="6">
        <v>30</v>
      </c>
      <c r="B34" s="7">
        <v>9.4</v>
      </c>
      <c r="C34" s="8">
        <v>29</v>
      </c>
      <c r="D34" s="9">
        <v>160.75</v>
      </c>
      <c r="E34" s="9">
        <v>69</v>
      </c>
      <c r="F34" s="7">
        <v>36.700000000000003</v>
      </c>
      <c r="G34" s="7">
        <v>97.4</v>
      </c>
      <c r="H34" s="7">
        <v>83.5</v>
      </c>
      <c r="I34" s="7">
        <v>98.7</v>
      </c>
      <c r="J34" s="7">
        <v>58.9</v>
      </c>
      <c r="M34" s="118" t="s">
        <v>19</v>
      </c>
      <c r="N34" s="118">
        <v>50</v>
      </c>
      <c r="X34" s="118" t="s">
        <v>19</v>
      </c>
      <c r="Y34" s="118">
        <v>50</v>
      </c>
      <c r="AI34" s="118" t="s">
        <v>19</v>
      </c>
      <c r="AJ34" s="118">
        <v>50</v>
      </c>
    </row>
    <row r="35" spans="1:43" x14ac:dyDescent="0.15">
      <c r="A35" s="6">
        <v>31</v>
      </c>
      <c r="B35" s="7">
        <v>12.3</v>
      </c>
      <c r="C35" s="8">
        <v>32</v>
      </c>
      <c r="D35" s="9">
        <v>182</v>
      </c>
      <c r="E35" s="9">
        <v>73.75</v>
      </c>
      <c r="F35" s="7">
        <v>38.700000000000003</v>
      </c>
      <c r="G35" s="7">
        <v>100.5</v>
      </c>
      <c r="H35" s="7">
        <v>88.7</v>
      </c>
      <c r="I35" s="7">
        <v>99.8</v>
      </c>
      <c r="J35" s="7">
        <v>57.5</v>
      </c>
    </row>
    <row r="36" spans="1:43" x14ac:dyDescent="0.15">
      <c r="A36" s="6">
        <v>32</v>
      </c>
      <c r="B36" s="7">
        <v>6.5</v>
      </c>
      <c r="C36" s="8">
        <v>29</v>
      </c>
      <c r="D36" s="9">
        <v>160.25</v>
      </c>
      <c r="E36" s="9">
        <v>71.25</v>
      </c>
      <c r="F36" s="7">
        <v>37.299999999999997</v>
      </c>
      <c r="G36" s="7">
        <v>93.5</v>
      </c>
      <c r="H36" s="7">
        <v>84.5</v>
      </c>
      <c r="I36" s="7">
        <v>100.6</v>
      </c>
      <c r="J36" s="7">
        <v>58.5</v>
      </c>
      <c r="M36" t="s">
        <v>20</v>
      </c>
      <c r="X36" t="s">
        <v>20</v>
      </c>
      <c r="AI36" t="s">
        <v>20</v>
      </c>
    </row>
    <row r="37" spans="1:43" x14ac:dyDescent="0.15">
      <c r="A37" s="6">
        <v>33</v>
      </c>
      <c r="B37" s="7">
        <v>13.4</v>
      </c>
      <c r="C37" s="8">
        <v>27</v>
      </c>
      <c r="D37" s="9">
        <v>168</v>
      </c>
      <c r="E37" s="9">
        <v>71.25</v>
      </c>
      <c r="F37" s="7">
        <v>38.1</v>
      </c>
      <c r="G37" s="7">
        <v>93</v>
      </c>
      <c r="H37" s="7">
        <v>79.099999999999994</v>
      </c>
      <c r="I37" s="7">
        <v>94.5</v>
      </c>
      <c r="J37" s="7">
        <v>57.3</v>
      </c>
      <c r="M37" s="178"/>
      <c r="N37" s="178" t="s">
        <v>21</v>
      </c>
      <c r="O37" s="178" t="s">
        <v>22</v>
      </c>
      <c r="P37" s="178" t="s">
        <v>23</v>
      </c>
      <c r="Q37" s="178" t="s">
        <v>24</v>
      </c>
      <c r="R37" s="178" t="s">
        <v>25</v>
      </c>
      <c r="X37" s="178"/>
      <c r="Y37" s="178" t="s">
        <v>21</v>
      </c>
      <c r="Z37" s="178" t="s">
        <v>22</v>
      </c>
      <c r="AA37" s="178" t="s">
        <v>23</v>
      </c>
      <c r="AB37" s="178" t="s">
        <v>24</v>
      </c>
      <c r="AC37" s="178" t="s">
        <v>25</v>
      </c>
      <c r="AI37" s="178"/>
      <c r="AJ37" s="178" t="s">
        <v>21</v>
      </c>
      <c r="AK37" s="178" t="s">
        <v>22</v>
      </c>
      <c r="AL37" s="178" t="s">
        <v>23</v>
      </c>
      <c r="AM37" s="178" t="s">
        <v>24</v>
      </c>
      <c r="AN37" s="178" t="s">
        <v>25</v>
      </c>
    </row>
    <row r="38" spans="1:43" x14ac:dyDescent="0.15">
      <c r="A38" s="6">
        <v>34</v>
      </c>
      <c r="B38" s="7">
        <v>20.9</v>
      </c>
      <c r="C38" s="8">
        <v>41</v>
      </c>
      <c r="D38" s="9">
        <v>218.5</v>
      </c>
      <c r="E38" s="9">
        <v>71</v>
      </c>
      <c r="F38" s="7">
        <v>39.799999999999997</v>
      </c>
      <c r="G38" s="7">
        <v>111.7</v>
      </c>
      <c r="H38" s="7">
        <v>100.5</v>
      </c>
      <c r="I38" s="7">
        <v>108.3</v>
      </c>
      <c r="J38" s="7">
        <v>67.099999999999994</v>
      </c>
      <c r="M38" t="s">
        <v>26</v>
      </c>
      <c r="N38">
        <v>3</v>
      </c>
      <c r="O38">
        <v>3273.7560119885702</v>
      </c>
      <c r="P38">
        <v>1091.2520039961901</v>
      </c>
      <c r="Q38">
        <v>65.423055888245202</v>
      </c>
      <c r="R38">
        <v>1.11022302462515E-16</v>
      </c>
      <c r="X38" t="s">
        <v>26</v>
      </c>
      <c r="Y38">
        <v>3</v>
      </c>
      <c r="Z38">
        <v>3241.2634785966702</v>
      </c>
      <c r="AA38">
        <v>1080.4211595322199</v>
      </c>
      <c r="AB38">
        <v>62.142135248794901</v>
      </c>
      <c r="AC38">
        <v>3.3306690738754598E-16</v>
      </c>
      <c r="AI38" t="s">
        <v>26</v>
      </c>
      <c r="AJ38">
        <v>3</v>
      </c>
      <c r="AK38">
        <v>3345.2362197034199</v>
      </c>
      <c r="AL38">
        <v>1115.0787399011399</v>
      </c>
      <c r="AM38">
        <v>73.719278720210397</v>
      </c>
      <c r="AN38">
        <v>0</v>
      </c>
    </row>
    <row r="39" spans="1:43" x14ac:dyDescent="0.15">
      <c r="A39" s="6">
        <v>35</v>
      </c>
      <c r="B39" s="7">
        <v>31.1</v>
      </c>
      <c r="C39" s="8">
        <v>41</v>
      </c>
      <c r="D39" s="9">
        <v>247.25</v>
      </c>
      <c r="E39" s="9">
        <v>73.5</v>
      </c>
      <c r="F39" s="7">
        <v>42.1</v>
      </c>
      <c r="G39" s="7">
        <v>117</v>
      </c>
      <c r="H39" s="7">
        <v>115.6</v>
      </c>
      <c r="I39" s="7">
        <v>116.1</v>
      </c>
      <c r="J39" s="7">
        <v>71.2</v>
      </c>
      <c r="M39" t="s">
        <v>27</v>
      </c>
      <c r="N39">
        <v>46</v>
      </c>
      <c r="O39">
        <v>767.27678801142497</v>
      </c>
      <c r="P39">
        <v>16.679930174161399</v>
      </c>
      <c r="X39" t="s">
        <v>27</v>
      </c>
      <c r="Y39">
        <v>46</v>
      </c>
      <c r="Z39">
        <v>799.76932140332497</v>
      </c>
      <c r="AA39">
        <v>17.386289595724399</v>
      </c>
      <c r="AI39" t="s">
        <v>27</v>
      </c>
      <c r="AJ39">
        <v>46</v>
      </c>
      <c r="AK39">
        <v>695.79658029657503</v>
      </c>
      <c r="AL39">
        <v>15.1260126151429</v>
      </c>
    </row>
    <row r="40" spans="1:43" x14ac:dyDescent="0.15">
      <c r="A40" s="6">
        <v>36</v>
      </c>
      <c r="B40" s="7">
        <v>38.200000000000003</v>
      </c>
      <c r="C40" s="8">
        <v>49</v>
      </c>
      <c r="D40" s="9">
        <v>191.75</v>
      </c>
      <c r="E40" s="9">
        <v>65</v>
      </c>
      <c r="F40" s="7">
        <v>38.4</v>
      </c>
      <c r="G40" s="7">
        <v>118.5</v>
      </c>
      <c r="H40" s="7">
        <v>113.1</v>
      </c>
      <c r="I40" s="7">
        <v>113.8</v>
      </c>
      <c r="J40" s="7">
        <v>61.9</v>
      </c>
      <c r="M40" s="118" t="s">
        <v>28</v>
      </c>
      <c r="N40" s="118">
        <v>49</v>
      </c>
      <c r="O40" s="118">
        <v>4041.0328</v>
      </c>
      <c r="P40" s="118"/>
      <c r="Q40" s="118"/>
      <c r="R40" s="118"/>
      <c r="X40" s="118" t="s">
        <v>28</v>
      </c>
      <c r="Y40" s="118">
        <v>49</v>
      </c>
      <c r="Z40" s="118">
        <v>4041.0328</v>
      </c>
      <c r="AA40" s="118"/>
      <c r="AB40" s="118"/>
      <c r="AC40" s="118"/>
      <c r="AI40" s="118" t="s">
        <v>28</v>
      </c>
      <c r="AJ40" s="118">
        <v>49</v>
      </c>
      <c r="AK40" s="118">
        <v>4041.0328</v>
      </c>
      <c r="AL40" s="118"/>
      <c r="AM40" s="118"/>
      <c r="AN40" s="118"/>
    </row>
    <row r="41" spans="1:43" x14ac:dyDescent="0.15">
      <c r="A41" s="6">
        <v>37</v>
      </c>
      <c r="B41" s="7">
        <v>23.6</v>
      </c>
      <c r="C41" s="8">
        <v>40</v>
      </c>
      <c r="D41" s="9">
        <v>202.25</v>
      </c>
      <c r="E41" s="9">
        <v>70</v>
      </c>
      <c r="F41" s="7">
        <v>38.5</v>
      </c>
      <c r="G41" s="7">
        <v>106.5</v>
      </c>
      <c r="H41" s="7">
        <v>100.9</v>
      </c>
      <c r="I41" s="7">
        <v>106.2</v>
      </c>
      <c r="J41" s="7">
        <v>63.5</v>
      </c>
      <c r="M41" s="118"/>
      <c r="N41" s="118"/>
      <c r="O41" s="118"/>
      <c r="P41" s="118"/>
      <c r="Q41" s="118"/>
      <c r="R41" s="118"/>
      <c r="S41" s="118"/>
      <c r="T41" s="118"/>
      <c r="U41" s="118"/>
      <c r="X41" s="118"/>
      <c r="Y41" s="118"/>
      <c r="Z41" s="118"/>
      <c r="AA41" s="118"/>
      <c r="AB41" s="118"/>
      <c r="AC41" s="118"/>
      <c r="AD41" s="118"/>
      <c r="AE41" s="118"/>
      <c r="AF41" s="118"/>
      <c r="AI41" s="118"/>
      <c r="AJ41" s="118"/>
      <c r="AK41" s="118"/>
      <c r="AL41" s="118"/>
      <c r="AM41" s="118"/>
      <c r="AN41" s="118"/>
      <c r="AO41" s="118"/>
      <c r="AP41" s="118"/>
      <c r="AQ41" s="118"/>
    </row>
    <row r="42" spans="1:43" x14ac:dyDescent="0.15">
      <c r="A42" s="6">
        <v>38</v>
      </c>
      <c r="B42" s="7">
        <v>27.5</v>
      </c>
      <c r="C42" s="8">
        <v>50</v>
      </c>
      <c r="D42" s="9">
        <v>196.75</v>
      </c>
      <c r="E42" s="9">
        <v>68.25</v>
      </c>
      <c r="F42" s="7">
        <v>42.1</v>
      </c>
      <c r="G42" s="7">
        <v>105.6</v>
      </c>
      <c r="H42" s="7">
        <v>98.8</v>
      </c>
      <c r="I42" s="7">
        <v>104.8</v>
      </c>
      <c r="J42" s="7">
        <v>66</v>
      </c>
      <c r="M42" s="117"/>
      <c r="N42" s="178" t="s">
        <v>29</v>
      </c>
      <c r="O42" s="178" t="s">
        <v>18</v>
      </c>
      <c r="P42" s="178" t="s">
        <v>30</v>
      </c>
      <c r="Q42" s="178" t="s">
        <v>31</v>
      </c>
      <c r="R42" s="178" t="s">
        <v>32</v>
      </c>
      <c r="S42" s="178" t="s">
        <v>33</v>
      </c>
      <c r="T42" s="178" t="s">
        <v>32</v>
      </c>
      <c r="U42" s="178" t="s">
        <v>33</v>
      </c>
      <c r="X42" s="117"/>
      <c r="Y42" s="178" t="s">
        <v>29</v>
      </c>
      <c r="Z42" s="178" t="s">
        <v>18</v>
      </c>
      <c r="AA42" s="178" t="s">
        <v>30</v>
      </c>
      <c r="AB42" s="178" t="s">
        <v>31</v>
      </c>
      <c r="AC42" s="178" t="s">
        <v>32</v>
      </c>
      <c r="AD42" s="178" t="s">
        <v>33</v>
      </c>
      <c r="AE42" s="178" t="s">
        <v>32</v>
      </c>
      <c r="AF42" s="178" t="s">
        <v>33</v>
      </c>
      <c r="AI42" s="117"/>
      <c r="AJ42" s="178" t="s">
        <v>29</v>
      </c>
      <c r="AK42" s="178" t="s">
        <v>18</v>
      </c>
      <c r="AL42" s="178" t="s">
        <v>30</v>
      </c>
      <c r="AM42" s="178" t="s">
        <v>31</v>
      </c>
      <c r="AN42" s="178" t="s">
        <v>32</v>
      </c>
      <c r="AO42" s="178" t="s">
        <v>33</v>
      </c>
      <c r="AP42" s="178" t="s">
        <v>32</v>
      </c>
      <c r="AQ42" s="178" t="s">
        <v>33</v>
      </c>
    </row>
    <row r="43" spans="1:43" x14ac:dyDescent="0.15">
      <c r="A43" s="6">
        <v>39</v>
      </c>
      <c r="B43" s="7">
        <v>33.799999999999997</v>
      </c>
      <c r="C43" s="8">
        <v>46</v>
      </c>
      <c r="D43" s="9">
        <v>363.15</v>
      </c>
      <c r="E43" s="9">
        <v>72.25</v>
      </c>
      <c r="F43" s="7">
        <v>51.2</v>
      </c>
      <c r="G43" s="7">
        <v>136.19999999999999</v>
      </c>
      <c r="H43" s="7">
        <v>148.1</v>
      </c>
      <c r="I43" s="7">
        <v>147.69999999999999</v>
      </c>
      <c r="J43" s="7">
        <v>87.3</v>
      </c>
      <c r="M43" t="s">
        <v>36</v>
      </c>
      <c r="N43">
        <v>-27.8600000561473</v>
      </c>
      <c r="O43">
        <v>8.9404799372094903</v>
      </c>
      <c r="P43">
        <v>-3.11616381355506</v>
      </c>
      <c r="Q43">
        <v>3.15338707790648E-3</v>
      </c>
      <c r="R43">
        <v>-45.8562524917483</v>
      </c>
      <c r="S43">
        <v>-9.8637476205463095</v>
      </c>
      <c r="T43">
        <v>-45.8562524917483</v>
      </c>
      <c r="U43">
        <v>-9.8637476205463095</v>
      </c>
      <c r="X43" t="s">
        <v>36</v>
      </c>
      <c r="Y43">
        <v>-36.004205982964699</v>
      </c>
      <c r="Z43">
        <v>8.6537829276412594</v>
      </c>
      <c r="AA43">
        <v>-4.1605164220104003</v>
      </c>
      <c r="AB43">
        <v>1.3737284814475999E-4</v>
      </c>
      <c r="AC43">
        <v>-53.423367278832998</v>
      </c>
      <c r="AD43">
        <v>-18.585044687096399</v>
      </c>
      <c r="AE43">
        <v>-53.423367278832998</v>
      </c>
      <c r="AF43">
        <v>-18.585044687096399</v>
      </c>
      <c r="AI43" t="s">
        <v>36</v>
      </c>
      <c r="AJ43">
        <v>-59.0021211605671</v>
      </c>
      <c r="AK43">
        <v>8.2993371258091404</v>
      </c>
      <c r="AL43">
        <v>-7.1092570727225102</v>
      </c>
      <c r="AM43">
        <v>6.2495058269485602E-9</v>
      </c>
      <c r="AN43">
        <v>-75.707820073061299</v>
      </c>
      <c r="AO43">
        <v>-42.296422248073</v>
      </c>
      <c r="AP43">
        <v>-75.707820073061299</v>
      </c>
      <c r="AQ43">
        <v>-42.296422248073</v>
      </c>
    </row>
    <row r="44" spans="1:43" x14ac:dyDescent="0.15">
      <c r="A44" s="6">
        <v>40</v>
      </c>
      <c r="B44" s="7">
        <v>31.3</v>
      </c>
      <c r="C44" s="8">
        <v>50</v>
      </c>
      <c r="D44" s="9">
        <v>203</v>
      </c>
      <c r="E44" s="9">
        <v>67</v>
      </c>
      <c r="F44" s="7">
        <v>40.200000000000003</v>
      </c>
      <c r="G44" s="7">
        <v>114.8</v>
      </c>
      <c r="H44" s="7">
        <v>108.1</v>
      </c>
      <c r="I44" s="7">
        <v>102.5</v>
      </c>
      <c r="J44" s="7">
        <v>61.3</v>
      </c>
      <c r="M44" t="s">
        <v>8</v>
      </c>
      <c r="N44">
        <v>0.95138135146944303</v>
      </c>
      <c r="O44">
        <v>0.107438252034461</v>
      </c>
      <c r="P44">
        <v>8.8551454761595103</v>
      </c>
      <c r="Q44">
        <v>1.6778274881147699E-11</v>
      </c>
      <c r="R44">
        <v>0.73511937018531903</v>
      </c>
      <c r="S44">
        <v>1.16764333275356</v>
      </c>
      <c r="T44">
        <v>0.73511937018531903</v>
      </c>
      <c r="U44">
        <v>1.16764333275356</v>
      </c>
      <c r="X44" t="s">
        <v>8</v>
      </c>
      <c r="Y44">
        <v>1.0520821691606801</v>
      </c>
      <c r="Z44">
        <v>0.133649818516059</v>
      </c>
      <c r="AA44">
        <v>7.8719311469492199</v>
      </c>
      <c r="AB44">
        <v>4.5707712681110999E-10</v>
      </c>
      <c r="AC44">
        <v>0.78305904189241904</v>
      </c>
      <c r="AD44">
        <v>1.32110529642894</v>
      </c>
      <c r="AE44">
        <v>0.78305904189241904</v>
      </c>
      <c r="AF44">
        <v>1.32110529642894</v>
      </c>
      <c r="AI44" t="s">
        <v>8</v>
      </c>
      <c r="AJ44">
        <v>0.95026655035320196</v>
      </c>
      <c r="AK44">
        <v>9.7426598989250796E-2</v>
      </c>
      <c r="AL44">
        <v>9.7536664546613707</v>
      </c>
      <c r="AM44">
        <v>8.9428514026670997E-13</v>
      </c>
      <c r="AN44">
        <v>0.754156981105639</v>
      </c>
      <c r="AO44">
        <v>1.14637611960076</v>
      </c>
      <c r="AP44">
        <v>0.754156981105639</v>
      </c>
      <c r="AQ44">
        <v>1.14637611960076</v>
      </c>
    </row>
    <row r="45" spans="1:43" x14ac:dyDescent="0.15">
      <c r="A45" s="6">
        <v>41</v>
      </c>
      <c r="B45" s="7">
        <v>33.1</v>
      </c>
      <c r="C45" s="8">
        <v>45</v>
      </c>
      <c r="D45" s="9">
        <v>262.75</v>
      </c>
      <c r="E45" s="9">
        <v>68.75</v>
      </c>
      <c r="F45" s="7">
        <v>43.2</v>
      </c>
      <c r="G45" s="7">
        <v>128.30000000000001</v>
      </c>
      <c r="H45" s="7">
        <v>126.2</v>
      </c>
      <c r="I45" s="7">
        <v>125.6</v>
      </c>
      <c r="J45" s="7">
        <v>72.5</v>
      </c>
      <c r="M45" t="s">
        <v>4</v>
      </c>
      <c r="N45">
        <v>-0.17307050715486899</v>
      </c>
      <c r="O45">
        <v>3.8899050543965197E-2</v>
      </c>
      <c r="P45">
        <v>-4.4492218893429802</v>
      </c>
      <c r="Q45">
        <v>5.4313583641308602E-5</v>
      </c>
      <c r="R45">
        <v>-0.25137023356898502</v>
      </c>
      <c r="S45">
        <v>-9.4770780740752597E-2</v>
      </c>
      <c r="T45">
        <v>-0.25137023356898502</v>
      </c>
      <c r="U45">
        <v>-9.4770780740752597E-2</v>
      </c>
      <c r="X45" t="s">
        <v>4</v>
      </c>
      <c r="Y45">
        <v>-0.18847164260358401</v>
      </c>
      <c r="Z45">
        <v>3.9452233941710498E-2</v>
      </c>
      <c r="AA45">
        <v>-4.7772109149014303</v>
      </c>
      <c r="AB45">
        <v>1.8490079966239499E-5</v>
      </c>
      <c r="AC45">
        <v>-0.267884869426954</v>
      </c>
      <c r="AD45">
        <v>-0.109058415780214</v>
      </c>
      <c r="AE45">
        <v>-0.267884869426954</v>
      </c>
      <c r="AF45">
        <v>-0.109058415780214</v>
      </c>
      <c r="AI45" t="s">
        <v>4</v>
      </c>
      <c r="AJ45">
        <v>-0.27707951224348099</v>
      </c>
      <c r="AK45">
        <v>4.5842381737454398E-2</v>
      </c>
      <c r="AL45">
        <v>-6.0441779362676602</v>
      </c>
      <c r="AM45">
        <v>2.4861440824621602E-7</v>
      </c>
      <c r="AN45">
        <v>-0.36935543923962399</v>
      </c>
      <c r="AO45">
        <v>-0.184803585247339</v>
      </c>
      <c r="AP45">
        <v>-0.36935543923962399</v>
      </c>
      <c r="AQ45">
        <v>-0.184803585247339</v>
      </c>
    </row>
    <row r="46" spans="1:43" x14ac:dyDescent="0.15">
      <c r="A46" s="6">
        <v>42</v>
      </c>
      <c r="B46" s="7">
        <v>31.7</v>
      </c>
      <c r="C46" s="8">
        <v>44</v>
      </c>
      <c r="D46" s="9">
        <v>205</v>
      </c>
      <c r="E46" s="9">
        <v>29.5</v>
      </c>
      <c r="F46" s="7">
        <v>36.6</v>
      </c>
      <c r="G46" s="7">
        <v>106</v>
      </c>
      <c r="H46" s="7">
        <v>104.3</v>
      </c>
      <c r="I46" s="7">
        <v>115.5</v>
      </c>
      <c r="J46" s="7">
        <v>70.599999999999994</v>
      </c>
      <c r="M46" s="119" t="s">
        <v>5</v>
      </c>
      <c r="N46" s="118">
        <v>-0.14767978922212399</v>
      </c>
      <c r="O46" s="118">
        <v>0.100099744316234</v>
      </c>
      <c r="P46" s="118">
        <v>-1.4753263380531301</v>
      </c>
      <c r="Q46" s="118">
        <v>0.146937240585756</v>
      </c>
      <c r="R46" s="118">
        <v>-0.34917012084925603</v>
      </c>
      <c r="S46" s="118">
        <v>5.3810542405008301E-2</v>
      </c>
      <c r="T46" s="118">
        <v>-0.34917012084925603</v>
      </c>
      <c r="U46" s="118">
        <v>5.3810542405008301E-2</v>
      </c>
      <c r="X46" s="119" t="s">
        <v>7</v>
      </c>
      <c r="Y46" s="118">
        <v>-8.4492760396358293E-2</v>
      </c>
      <c r="Z46" s="118">
        <v>0.18042677536104201</v>
      </c>
      <c r="AA46" s="118">
        <v>-0.46829391162860401</v>
      </c>
      <c r="AB46" s="118">
        <v>0.64178589919201801</v>
      </c>
      <c r="AC46" s="118">
        <v>-0.447673016752066</v>
      </c>
      <c r="AD46" s="118">
        <v>0.278687495959349</v>
      </c>
      <c r="AE46" s="118">
        <v>-0.447673016752066</v>
      </c>
      <c r="AF46" s="118">
        <v>0.278687495959349</v>
      </c>
      <c r="AI46" s="119" t="s">
        <v>10</v>
      </c>
      <c r="AJ46" s="118">
        <v>0.65142611222933</v>
      </c>
      <c r="AK46" s="118">
        <v>0.24403220304727599</v>
      </c>
      <c r="AL46" s="118">
        <v>2.6694268383223498</v>
      </c>
      <c r="AM46" s="118">
        <v>1.04633229898038E-2</v>
      </c>
      <c r="AN46" s="118">
        <v>0.160214772424527</v>
      </c>
      <c r="AO46" s="118">
        <v>1.14263745203413</v>
      </c>
      <c r="AP46" s="118">
        <v>0.160214772424527</v>
      </c>
      <c r="AQ46" s="118">
        <v>1.14263745203413</v>
      </c>
    </row>
    <row r="47" spans="1:43" x14ac:dyDescent="0.15">
      <c r="A47" s="6">
        <v>43</v>
      </c>
      <c r="B47" s="7">
        <v>30.4</v>
      </c>
      <c r="C47" s="8">
        <v>48</v>
      </c>
      <c r="D47" s="9">
        <v>217</v>
      </c>
      <c r="E47" s="9">
        <v>70</v>
      </c>
      <c r="F47" s="7">
        <v>37.299999999999997</v>
      </c>
      <c r="G47" s="7">
        <v>113.3</v>
      </c>
      <c r="H47" s="7">
        <v>111.2</v>
      </c>
      <c r="I47" s="7">
        <v>114.1</v>
      </c>
      <c r="J47" s="7">
        <v>67.7</v>
      </c>
    </row>
    <row r="48" spans="1:43" x14ac:dyDescent="0.15">
      <c r="A48" s="6">
        <v>44</v>
      </c>
      <c r="B48" s="7">
        <v>30.8</v>
      </c>
      <c r="C48" s="8">
        <v>41</v>
      </c>
      <c r="D48" s="9">
        <v>212</v>
      </c>
      <c r="E48" s="9">
        <v>71.5</v>
      </c>
      <c r="F48" s="7">
        <v>41.5</v>
      </c>
      <c r="G48" s="7">
        <v>106.6</v>
      </c>
      <c r="H48" s="7">
        <v>104.3</v>
      </c>
      <c r="I48" s="7">
        <v>106</v>
      </c>
      <c r="J48" s="7">
        <v>65</v>
      </c>
    </row>
    <row r="49" spans="1:14" x14ac:dyDescent="0.15">
      <c r="A49" s="6">
        <v>45</v>
      </c>
      <c r="B49" s="7">
        <v>8.4</v>
      </c>
      <c r="C49" s="8">
        <v>39</v>
      </c>
      <c r="D49" s="9">
        <v>125.25</v>
      </c>
      <c r="E49" s="9">
        <v>68</v>
      </c>
      <c r="F49" s="7">
        <v>31.5</v>
      </c>
      <c r="G49" s="7">
        <v>85.1</v>
      </c>
      <c r="H49" s="7">
        <v>76</v>
      </c>
      <c r="I49" s="7">
        <v>88.2</v>
      </c>
      <c r="J49" s="7">
        <v>50</v>
      </c>
    </row>
    <row r="50" spans="1:14" x14ac:dyDescent="0.15">
      <c r="A50" s="6">
        <v>46</v>
      </c>
      <c r="B50" s="7">
        <v>14.1</v>
      </c>
      <c r="C50" s="8">
        <v>43</v>
      </c>
      <c r="D50" s="9">
        <v>164.25</v>
      </c>
      <c r="E50" s="9">
        <v>73.25</v>
      </c>
      <c r="F50" s="7">
        <v>35.700000000000003</v>
      </c>
      <c r="G50" s="7">
        <v>96.6</v>
      </c>
      <c r="H50" s="7">
        <v>81.5</v>
      </c>
      <c r="I50" s="7">
        <v>97.2</v>
      </c>
      <c r="J50" s="7">
        <v>58.4</v>
      </c>
    </row>
    <row r="51" spans="1:14" x14ac:dyDescent="0.15">
      <c r="A51" s="6">
        <v>47</v>
      </c>
      <c r="B51" s="7">
        <v>11.2</v>
      </c>
      <c r="C51" s="8">
        <v>40</v>
      </c>
      <c r="D51" s="9">
        <v>133.5</v>
      </c>
      <c r="E51" s="9">
        <v>67.5</v>
      </c>
      <c r="F51" s="7">
        <v>33.6</v>
      </c>
      <c r="G51" s="7">
        <v>88.2</v>
      </c>
      <c r="H51" s="7">
        <v>73.7</v>
      </c>
      <c r="I51" s="7">
        <v>88.5</v>
      </c>
      <c r="J51" s="7">
        <v>53.3</v>
      </c>
    </row>
    <row r="52" spans="1:14" x14ac:dyDescent="0.15">
      <c r="A52" s="6">
        <v>48</v>
      </c>
      <c r="B52" s="7">
        <v>6.4</v>
      </c>
      <c r="C52" s="8">
        <v>39</v>
      </c>
      <c r="D52" s="9">
        <v>148.5</v>
      </c>
      <c r="E52" s="9">
        <v>71.25</v>
      </c>
      <c r="F52" s="7">
        <v>34.6</v>
      </c>
      <c r="G52" s="7">
        <v>89.8</v>
      </c>
      <c r="H52" s="7">
        <v>79.5</v>
      </c>
      <c r="I52" s="7">
        <v>92.7</v>
      </c>
      <c r="J52" s="7">
        <v>52.7</v>
      </c>
    </row>
    <row r="53" spans="1:14" x14ac:dyDescent="0.15">
      <c r="A53" s="6">
        <v>49</v>
      </c>
      <c r="B53" s="7">
        <v>13.4</v>
      </c>
      <c r="C53" s="8">
        <v>45</v>
      </c>
      <c r="D53" s="9">
        <v>135.75</v>
      </c>
      <c r="E53" s="9">
        <v>68.5</v>
      </c>
      <c r="F53" s="7">
        <v>32.799999999999997</v>
      </c>
      <c r="G53" s="7">
        <v>92.3</v>
      </c>
      <c r="H53" s="7">
        <v>83.4</v>
      </c>
      <c r="I53" s="7">
        <v>90.4</v>
      </c>
      <c r="J53" s="7">
        <v>52</v>
      </c>
    </row>
    <row r="54" spans="1:14" x14ac:dyDescent="0.15">
      <c r="A54" s="11">
        <v>50</v>
      </c>
      <c r="B54" s="12">
        <v>5</v>
      </c>
      <c r="C54" s="134">
        <v>47</v>
      </c>
      <c r="D54" s="133">
        <v>127.5</v>
      </c>
      <c r="E54" s="133">
        <v>66.75</v>
      </c>
      <c r="F54" s="12">
        <v>34</v>
      </c>
      <c r="G54" s="12">
        <v>83.4</v>
      </c>
      <c r="H54" s="12">
        <v>70.400000000000006</v>
      </c>
      <c r="I54" s="12">
        <v>87.2</v>
      </c>
      <c r="J54" s="12">
        <v>50.6</v>
      </c>
    </row>
    <row r="57" spans="1:14" x14ac:dyDescent="0.15">
      <c r="C57" s="106"/>
      <c r="D57" s="106"/>
      <c r="E57" s="106"/>
    </row>
    <row r="58" spans="1:14" x14ac:dyDescent="0.15">
      <c r="C58" s="107"/>
      <c r="D58" s="128"/>
      <c r="E58" s="107"/>
      <c r="G58" s="18" t="s">
        <v>8</v>
      </c>
      <c r="H58" s="18" t="s">
        <v>4</v>
      </c>
      <c r="I58" s="18" t="s">
        <v>10</v>
      </c>
      <c r="L58" s="106"/>
      <c r="M58" s="106"/>
      <c r="N58" s="106"/>
    </row>
    <row r="59" spans="1:14" x14ac:dyDescent="0.15">
      <c r="C59" s="107"/>
      <c r="D59" s="128"/>
      <c r="E59" s="107"/>
      <c r="G59" s="2">
        <v>85.2</v>
      </c>
      <c r="H59" s="4">
        <v>154.25</v>
      </c>
      <c r="I59" s="2">
        <v>59</v>
      </c>
      <c r="L59" s="107"/>
      <c r="M59" s="128"/>
      <c r="N59" s="107"/>
    </row>
    <row r="60" spans="1:14" x14ac:dyDescent="0.15">
      <c r="C60" s="107"/>
      <c r="D60" s="128"/>
      <c r="E60" s="107"/>
      <c r="G60" s="7">
        <v>83</v>
      </c>
      <c r="H60" s="9">
        <v>173.25</v>
      </c>
      <c r="I60" s="7">
        <v>58.7</v>
      </c>
      <c r="L60" s="107"/>
      <c r="M60" s="128"/>
      <c r="N60" s="107"/>
    </row>
    <row r="61" spans="1:14" x14ac:dyDescent="0.15">
      <c r="C61" s="107"/>
      <c r="D61" s="128"/>
      <c r="E61" s="107"/>
      <c r="G61" s="7">
        <v>87.9</v>
      </c>
      <c r="H61" s="9">
        <v>154</v>
      </c>
      <c r="I61" s="7">
        <v>59.6</v>
      </c>
      <c r="L61" s="107"/>
      <c r="M61" s="128"/>
      <c r="N61" s="107"/>
    </row>
    <row r="62" spans="1:14" x14ac:dyDescent="0.15">
      <c r="C62" s="107"/>
      <c r="D62" s="128"/>
      <c r="E62" s="107"/>
      <c r="G62" s="7">
        <v>86.4</v>
      </c>
      <c r="H62" s="9">
        <v>184.75</v>
      </c>
      <c r="I62" s="7">
        <v>60.1</v>
      </c>
      <c r="L62" s="107"/>
      <c r="M62" s="128"/>
      <c r="N62" s="107"/>
    </row>
    <row r="63" spans="1:14" x14ac:dyDescent="0.15">
      <c r="C63" s="107"/>
      <c r="D63" s="128"/>
      <c r="E63" s="107"/>
      <c r="G63" s="7">
        <v>100</v>
      </c>
      <c r="H63" s="9">
        <v>184.25</v>
      </c>
      <c r="I63" s="7">
        <v>63.2</v>
      </c>
      <c r="L63" s="107"/>
      <c r="M63" s="128"/>
      <c r="N63" s="107"/>
    </row>
    <row r="64" spans="1:14" x14ac:dyDescent="0.15">
      <c r="C64" s="107"/>
      <c r="D64" s="128"/>
      <c r="E64" s="107"/>
      <c r="G64" s="7">
        <v>94.4</v>
      </c>
      <c r="H64" s="9">
        <v>210.25</v>
      </c>
      <c r="I64" s="7">
        <v>66</v>
      </c>
      <c r="L64" s="107"/>
      <c r="M64" s="128"/>
      <c r="N64" s="107"/>
    </row>
    <row r="65" spans="3:22" x14ac:dyDescent="0.15">
      <c r="C65" s="107"/>
      <c r="D65" s="128"/>
      <c r="E65" s="107"/>
      <c r="G65" s="7">
        <v>90.7</v>
      </c>
      <c r="H65" s="9">
        <v>181</v>
      </c>
      <c r="I65" s="7">
        <v>58.4</v>
      </c>
      <c r="L65" s="107"/>
      <c r="M65" s="128"/>
      <c r="N65" s="107"/>
    </row>
    <row r="66" spans="3:22" x14ac:dyDescent="0.15">
      <c r="C66" s="107"/>
      <c r="D66" s="128"/>
      <c r="E66" s="107"/>
      <c r="G66" s="7">
        <v>88.5</v>
      </c>
      <c r="H66" s="9">
        <v>176</v>
      </c>
      <c r="I66" s="7">
        <v>60</v>
      </c>
      <c r="L66" s="107"/>
      <c r="M66" s="128"/>
      <c r="N66" s="107"/>
    </row>
    <row r="67" spans="3:22" x14ac:dyDescent="0.15">
      <c r="C67" s="107"/>
      <c r="D67" s="128"/>
      <c r="E67" s="107"/>
      <c r="G67" s="7">
        <v>82.5</v>
      </c>
      <c r="H67" s="9">
        <v>191</v>
      </c>
      <c r="I67" s="7">
        <v>62.9</v>
      </c>
      <c r="L67" s="107"/>
      <c r="M67" s="128"/>
      <c r="N67" s="107"/>
    </row>
    <row r="68" spans="3:22" x14ac:dyDescent="0.15">
      <c r="C68" s="107"/>
      <c r="D68" s="128"/>
      <c r="E68" s="107"/>
      <c r="G68" s="7">
        <v>88.6</v>
      </c>
      <c r="H68" s="9">
        <v>198.25</v>
      </c>
      <c r="I68" s="7">
        <v>63.1</v>
      </c>
      <c r="L68" s="107"/>
      <c r="M68" s="128"/>
      <c r="N68" s="107"/>
    </row>
    <row r="69" spans="3:22" x14ac:dyDescent="0.15">
      <c r="C69" s="107"/>
      <c r="D69" s="128"/>
      <c r="E69" s="107"/>
      <c r="G69" s="7">
        <v>83.6</v>
      </c>
      <c r="H69" s="9">
        <v>186.25</v>
      </c>
      <c r="I69" s="7">
        <v>59.7</v>
      </c>
      <c r="L69" s="107"/>
      <c r="M69" s="128"/>
      <c r="N69" s="107"/>
    </row>
    <row r="70" spans="3:22" x14ac:dyDescent="0.15">
      <c r="C70" s="107"/>
      <c r="D70" s="128"/>
      <c r="E70" s="107"/>
      <c r="G70" s="7">
        <v>90.9</v>
      </c>
      <c r="H70" s="9">
        <v>216</v>
      </c>
      <c r="I70" s="7">
        <v>66.2</v>
      </c>
      <c r="L70" s="107"/>
      <c r="M70" s="128"/>
      <c r="N70" s="107"/>
    </row>
    <row r="71" spans="3:22" x14ac:dyDescent="0.15">
      <c r="C71" s="107"/>
      <c r="D71" s="128"/>
      <c r="E71" s="107"/>
      <c r="G71" s="7">
        <v>91.6</v>
      </c>
      <c r="H71" s="9">
        <v>180.5</v>
      </c>
      <c r="I71" s="7">
        <v>63.4</v>
      </c>
      <c r="L71" s="107"/>
      <c r="M71" s="128"/>
      <c r="N71" s="107"/>
    </row>
    <row r="72" spans="3:22" x14ac:dyDescent="0.15">
      <c r="C72" s="107"/>
      <c r="D72" s="128"/>
      <c r="E72" s="107"/>
      <c r="G72" s="7">
        <v>101.8</v>
      </c>
      <c r="H72" s="9">
        <v>205.25</v>
      </c>
      <c r="I72" s="7">
        <v>66</v>
      </c>
      <c r="L72" s="107"/>
      <c r="M72" s="128"/>
      <c r="N72" s="107"/>
    </row>
    <row r="73" spans="3:22" x14ac:dyDescent="0.15">
      <c r="C73" s="107"/>
      <c r="D73" s="128"/>
      <c r="E73" s="107"/>
      <c r="G73" s="7">
        <v>96.4</v>
      </c>
      <c r="H73" s="9">
        <v>187.75</v>
      </c>
      <c r="I73" s="7">
        <v>69</v>
      </c>
      <c r="L73" s="107"/>
      <c r="M73" s="128"/>
      <c r="N73" s="107"/>
    </row>
    <row r="74" spans="3:22" x14ac:dyDescent="0.15">
      <c r="C74" s="107"/>
      <c r="D74" s="128"/>
      <c r="E74" s="107"/>
      <c r="G74" s="7">
        <v>92.8</v>
      </c>
      <c r="H74" s="9">
        <v>162.75</v>
      </c>
      <c r="I74" s="7">
        <v>63.1</v>
      </c>
      <c r="L74" s="107"/>
      <c r="M74" s="128"/>
      <c r="N74" s="107"/>
    </row>
    <row r="75" spans="3:22" x14ac:dyDescent="0.15">
      <c r="C75" s="107"/>
      <c r="D75" s="128"/>
      <c r="E75" s="107"/>
      <c r="G75" s="7">
        <v>96.4</v>
      </c>
      <c r="H75" s="9">
        <v>195.75</v>
      </c>
      <c r="I75" s="7">
        <v>64.8</v>
      </c>
      <c r="L75" s="107"/>
      <c r="M75" s="128"/>
      <c r="N75" s="107"/>
      <c r="O75" s="91"/>
    </row>
    <row r="76" spans="3:22" x14ac:dyDescent="0.15">
      <c r="C76" s="107"/>
      <c r="D76" s="128"/>
      <c r="E76" s="107"/>
      <c r="G76" s="7">
        <v>97.5</v>
      </c>
      <c r="H76" s="9">
        <v>209.25</v>
      </c>
      <c r="I76" s="7">
        <v>66.900000000000006</v>
      </c>
      <c r="L76" s="107"/>
      <c r="M76" s="128"/>
      <c r="N76" s="107"/>
      <c r="O76" s="91"/>
      <c r="V76" s="91"/>
    </row>
    <row r="77" spans="3:22" x14ac:dyDescent="0.15">
      <c r="C77" s="107"/>
      <c r="D77" s="128"/>
      <c r="E77" s="107"/>
      <c r="G77" s="7">
        <v>89.6</v>
      </c>
      <c r="H77" s="9">
        <v>183.75</v>
      </c>
      <c r="I77" s="7">
        <v>64.2</v>
      </c>
      <c r="L77" s="107"/>
      <c r="M77" s="128"/>
      <c r="N77" s="107"/>
      <c r="O77" s="91"/>
    </row>
    <row r="78" spans="3:22" x14ac:dyDescent="0.15">
      <c r="C78" s="107"/>
      <c r="D78" s="128"/>
      <c r="E78" s="107"/>
      <c r="G78" s="7">
        <v>100.5</v>
      </c>
      <c r="H78" s="9">
        <v>211.75</v>
      </c>
      <c r="I78" s="7">
        <v>65.8</v>
      </c>
      <c r="L78" s="107"/>
      <c r="M78" s="128"/>
      <c r="N78" s="107"/>
    </row>
    <row r="79" spans="3:22" x14ac:dyDescent="0.15">
      <c r="C79" s="107"/>
      <c r="D79" s="128"/>
      <c r="E79" s="107"/>
      <c r="G79" s="7">
        <v>95.9</v>
      </c>
      <c r="H79" s="9">
        <v>179</v>
      </c>
      <c r="I79" s="7">
        <v>63.5</v>
      </c>
      <c r="L79" s="107"/>
      <c r="M79" s="128"/>
      <c r="N79" s="107"/>
    </row>
    <row r="80" spans="3:22" x14ac:dyDescent="0.15">
      <c r="C80" s="107"/>
      <c r="D80" s="128"/>
      <c r="E80" s="107"/>
      <c r="G80" s="7">
        <v>98.8</v>
      </c>
      <c r="H80" s="9">
        <v>200.5</v>
      </c>
      <c r="I80" s="7">
        <v>63.4</v>
      </c>
      <c r="L80" s="107"/>
      <c r="M80" s="128"/>
      <c r="N80" s="107"/>
    </row>
    <row r="81" spans="3:21" x14ac:dyDescent="0.15">
      <c r="C81" s="107"/>
      <c r="D81" s="128"/>
      <c r="E81" s="107"/>
      <c r="G81" s="7">
        <v>76.400000000000006</v>
      </c>
      <c r="H81" s="9">
        <v>140.25</v>
      </c>
      <c r="I81" s="7">
        <v>57.4</v>
      </c>
      <c r="L81" s="107"/>
      <c r="M81" s="128"/>
      <c r="N81" s="107"/>
    </row>
    <row r="82" spans="3:21" x14ac:dyDescent="0.15">
      <c r="C82" s="107"/>
      <c r="D82" s="128"/>
      <c r="E82" s="107"/>
      <c r="G82" s="7">
        <v>80</v>
      </c>
      <c r="H82" s="9">
        <v>148.75</v>
      </c>
      <c r="I82" s="7">
        <v>54.9</v>
      </c>
      <c r="L82" s="107"/>
      <c r="M82" s="128"/>
      <c r="N82" s="107"/>
      <c r="U82" s="91"/>
    </row>
    <row r="83" spans="3:21" x14ac:dyDescent="0.15">
      <c r="C83" s="107"/>
      <c r="D83" s="128"/>
      <c r="E83" s="107"/>
      <c r="G83" s="7">
        <v>76.3</v>
      </c>
      <c r="H83" s="9">
        <v>151.25</v>
      </c>
      <c r="I83" s="7">
        <v>58.4</v>
      </c>
      <c r="L83" s="107"/>
      <c r="M83" s="128"/>
      <c r="N83" s="107"/>
    </row>
    <row r="84" spans="3:21" x14ac:dyDescent="0.15">
      <c r="C84" s="107"/>
      <c r="D84" s="128"/>
      <c r="E84" s="107"/>
      <c r="G84" s="7">
        <v>79.7</v>
      </c>
      <c r="H84" s="9">
        <v>159.25</v>
      </c>
      <c r="I84" s="7">
        <v>55</v>
      </c>
      <c r="L84" s="107"/>
      <c r="M84" s="128"/>
      <c r="N84" s="107"/>
    </row>
    <row r="85" spans="3:21" x14ac:dyDescent="0.15">
      <c r="C85" s="107"/>
      <c r="D85" s="128"/>
      <c r="E85" s="107"/>
      <c r="G85" s="7">
        <v>74.599999999999994</v>
      </c>
      <c r="H85" s="9">
        <v>131.5</v>
      </c>
      <c r="I85" s="7">
        <v>51.7</v>
      </c>
      <c r="L85" s="107"/>
      <c r="M85" s="128"/>
      <c r="N85" s="107"/>
    </row>
    <row r="86" spans="3:21" x14ac:dyDescent="0.15">
      <c r="C86" s="107"/>
      <c r="D86" s="128"/>
      <c r="E86" s="107"/>
      <c r="G86" s="7">
        <v>88.7</v>
      </c>
      <c r="H86" s="9">
        <v>148</v>
      </c>
      <c r="I86" s="7">
        <v>57.5</v>
      </c>
      <c r="L86" s="107"/>
      <c r="M86" s="128"/>
      <c r="N86" s="107"/>
    </row>
    <row r="87" spans="3:21" x14ac:dyDescent="0.15">
      <c r="C87" s="107"/>
      <c r="D87" s="128"/>
      <c r="E87" s="107"/>
      <c r="G87" s="7">
        <v>73.900000000000006</v>
      </c>
      <c r="H87" s="9">
        <v>133.25</v>
      </c>
      <c r="I87" s="7">
        <v>50.1</v>
      </c>
      <c r="L87" s="107"/>
      <c r="M87" s="128"/>
      <c r="N87" s="107"/>
    </row>
    <row r="88" spans="3:21" x14ac:dyDescent="0.15">
      <c r="C88" s="107"/>
      <c r="D88" s="128"/>
      <c r="E88" s="107"/>
      <c r="G88" s="7">
        <v>83.5</v>
      </c>
      <c r="H88" s="9">
        <v>160.75</v>
      </c>
      <c r="I88" s="7">
        <v>58.9</v>
      </c>
      <c r="L88" s="107"/>
      <c r="M88" s="128"/>
      <c r="N88" s="107"/>
    </row>
    <row r="89" spans="3:21" x14ac:dyDescent="0.15">
      <c r="C89" s="107"/>
      <c r="D89" s="128"/>
      <c r="E89" s="107"/>
      <c r="G89" s="7">
        <v>88.7</v>
      </c>
      <c r="H89" s="9">
        <v>182</v>
      </c>
      <c r="I89" s="7">
        <v>57.5</v>
      </c>
      <c r="L89" s="107"/>
      <c r="M89" s="128"/>
      <c r="N89" s="107"/>
    </row>
    <row r="90" spans="3:21" x14ac:dyDescent="0.15">
      <c r="C90" s="107"/>
      <c r="D90" s="128"/>
      <c r="E90" s="107"/>
      <c r="G90" s="7">
        <v>84.5</v>
      </c>
      <c r="H90" s="9">
        <v>160.25</v>
      </c>
      <c r="I90" s="7">
        <v>58.5</v>
      </c>
      <c r="L90" s="107"/>
      <c r="M90" s="128"/>
      <c r="N90" s="107"/>
    </row>
    <row r="91" spans="3:21" x14ac:dyDescent="0.15">
      <c r="C91" s="107"/>
      <c r="D91" s="128"/>
      <c r="E91" s="107"/>
      <c r="G91" s="7">
        <v>79.099999999999994</v>
      </c>
      <c r="H91" s="9">
        <v>168</v>
      </c>
      <c r="I91" s="7">
        <v>57.3</v>
      </c>
      <c r="L91" s="107"/>
      <c r="M91" s="128"/>
      <c r="N91" s="107"/>
    </row>
    <row r="92" spans="3:21" x14ac:dyDescent="0.15">
      <c r="C92" s="107"/>
      <c r="D92" s="128"/>
      <c r="E92" s="107"/>
      <c r="G92" s="7">
        <v>100.5</v>
      </c>
      <c r="H92" s="9">
        <v>218.5</v>
      </c>
      <c r="I92" s="7">
        <v>67.099999999999994</v>
      </c>
      <c r="L92" s="107"/>
      <c r="M92" s="128"/>
      <c r="N92" s="107"/>
    </row>
    <row r="93" spans="3:21" x14ac:dyDescent="0.15">
      <c r="C93" s="107"/>
      <c r="D93" s="128"/>
      <c r="E93" s="107"/>
      <c r="G93" s="7">
        <v>115.6</v>
      </c>
      <c r="H93" s="9">
        <v>247.25</v>
      </c>
      <c r="I93" s="7">
        <v>71.2</v>
      </c>
      <c r="L93" s="107"/>
      <c r="M93" s="128"/>
      <c r="N93" s="107"/>
    </row>
    <row r="94" spans="3:21" x14ac:dyDescent="0.15">
      <c r="C94" s="107"/>
      <c r="D94" s="128"/>
      <c r="E94" s="107"/>
      <c r="G94" s="7">
        <v>113.1</v>
      </c>
      <c r="H94" s="9">
        <v>191.75</v>
      </c>
      <c r="I94" s="7">
        <v>61.9</v>
      </c>
      <c r="L94" s="107"/>
      <c r="M94" s="128"/>
      <c r="N94" s="107"/>
    </row>
    <row r="95" spans="3:21" x14ac:dyDescent="0.15">
      <c r="C95" s="107"/>
      <c r="D95" s="128"/>
      <c r="E95" s="107"/>
      <c r="G95" s="7">
        <v>100.9</v>
      </c>
      <c r="H95" s="9">
        <v>202.25</v>
      </c>
      <c r="I95" s="7">
        <v>63.5</v>
      </c>
      <c r="L95" s="107"/>
      <c r="M95" s="128"/>
      <c r="N95" s="107"/>
    </row>
    <row r="96" spans="3:21" x14ac:dyDescent="0.15">
      <c r="C96" s="107"/>
      <c r="D96" s="128"/>
      <c r="E96" s="107"/>
      <c r="G96" s="7">
        <v>98.8</v>
      </c>
      <c r="H96" s="9">
        <v>196.75</v>
      </c>
      <c r="I96" s="7">
        <v>66</v>
      </c>
      <c r="L96" s="107"/>
      <c r="M96" s="128"/>
      <c r="N96" s="107"/>
    </row>
    <row r="97" spans="3:14" x14ac:dyDescent="0.15">
      <c r="C97" s="107"/>
      <c r="D97" s="128"/>
      <c r="E97" s="107"/>
      <c r="G97" s="7">
        <v>148.1</v>
      </c>
      <c r="H97" s="9">
        <v>363.15</v>
      </c>
      <c r="I97" s="7">
        <v>87.3</v>
      </c>
      <c r="L97" s="107"/>
      <c r="M97" s="128"/>
      <c r="N97" s="107"/>
    </row>
    <row r="98" spans="3:14" x14ac:dyDescent="0.15">
      <c r="C98" s="107"/>
      <c r="D98" s="128"/>
      <c r="E98" s="107"/>
      <c r="G98" s="7">
        <v>108.1</v>
      </c>
      <c r="H98" s="9">
        <v>203</v>
      </c>
      <c r="I98" s="7">
        <v>61.3</v>
      </c>
      <c r="L98" s="107"/>
      <c r="M98" s="128"/>
      <c r="N98" s="107"/>
    </row>
    <row r="99" spans="3:14" x14ac:dyDescent="0.15">
      <c r="C99" s="107"/>
      <c r="D99" s="128"/>
      <c r="E99" s="107"/>
      <c r="G99" s="7">
        <v>126.2</v>
      </c>
      <c r="H99" s="9">
        <v>262.75</v>
      </c>
      <c r="I99" s="7">
        <v>72.5</v>
      </c>
      <c r="L99" s="107"/>
      <c r="M99" s="128"/>
      <c r="N99" s="107"/>
    </row>
    <row r="100" spans="3:14" x14ac:dyDescent="0.15">
      <c r="C100" s="107"/>
      <c r="D100" s="128"/>
      <c r="E100" s="107"/>
      <c r="G100" s="7">
        <v>104.3</v>
      </c>
      <c r="H100" s="9">
        <v>205</v>
      </c>
      <c r="I100" s="7">
        <v>70.599999999999994</v>
      </c>
      <c r="L100" s="107"/>
      <c r="M100" s="128"/>
      <c r="N100" s="107"/>
    </row>
    <row r="101" spans="3:14" x14ac:dyDescent="0.15">
      <c r="C101" s="107"/>
      <c r="D101" s="128"/>
      <c r="E101" s="107"/>
      <c r="G101" s="7">
        <v>111.2</v>
      </c>
      <c r="H101" s="9">
        <v>217</v>
      </c>
      <c r="I101" s="7">
        <v>67.7</v>
      </c>
      <c r="L101" s="107"/>
      <c r="M101" s="128"/>
      <c r="N101" s="107"/>
    </row>
    <row r="102" spans="3:14" x14ac:dyDescent="0.15">
      <c r="C102" s="107"/>
      <c r="D102" s="128"/>
      <c r="E102" s="107"/>
      <c r="G102" s="7">
        <v>104.3</v>
      </c>
      <c r="H102" s="9">
        <v>212</v>
      </c>
      <c r="I102" s="7">
        <v>65</v>
      </c>
      <c r="L102" s="107"/>
      <c r="M102" s="128"/>
      <c r="N102" s="107"/>
    </row>
    <row r="103" spans="3:14" x14ac:dyDescent="0.15">
      <c r="C103" s="107"/>
      <c r="D103" s="128"/>
      <c r="E103" s="107"/>
      <c r="G103" s="7">
        <v>76</v>
      </c>
      <c r="H103" s="9">
        <v>125.25</v>
      </c>
      <c r="I103" s="7">
        <v>50</v>
      </c>
      <c r="L103" s="107"/>
      <c r="M103" s="128"/>
      <c r="N103" s="107"/>
    </row>
    <row r="104" spans="3:14" x14ac:dyDescent="0.15">
      <c r="C104" s="107"/>
      <c r="D104" s="128"/>
      <c r="E104" s="107"/>
      <c r="G104" s="7">
        <v>81.5</v>
      </c>
      <c r="H104" s="9">
        <v>164.25</v>
      </c>
      <c r="I104" s="7">
        <v>58.4</v>
      </c>
      <c r="L104" s="107"/>
      <c r="M104" s="128"/>
      <c r="N104" s="107"/>
    </row>
    <row r="105" spans="3:14" x14ac:dyDescent="0.15">
      <c r="C105" s="107"/>
      <c r="D105" s="128"/>
      <c r="E105" s="107"/>
      <c r="G105" s="7">
        <v>73.7</v>
      </c>
      <c r="H105" s="9">
        <v>133.5</v>
      </c>
      <c r="I105" s="7">
        <v>53.3</v>
      </c>
      <c r="L105" s="107"/>
      <c r="M105" s="128"/>
      <c r="N105" s="107"/>
    </row>
    <row r="106" spans="3:14" x14ac:dyDescent="0.15">
      <c r="C106" s="107"/>
      <c r="D106" s="128"/>
      <c r="E106" s="107"/>
      <c r="G106" s="7">
        <v>79.5</v>
      </c>
      <c r="H106" s="9">
        <v>148.5</v>
      </c>
      <c r="I106" s="7">
        <v>52.7</v>
      </c>
      <c r="L106" s="107"/>
      <c r="M106" s="128"/>
      <c r="N106" s="107"/>
    </row>
    <row r="107" spans="3:14" x14ac:dyDescent="0.15">
      <c r="C107" s="107"/>
      <c r="D107" s="128"/>
      <c r="E107" s="107"/>
      <c r="G107" s="7">
        <v>83.4</v>
      </c>
      <c r="H107" s="9">
        <v>135.75</v>
      </c>
      <c r="I107" s="7">
        <v>52</v>
      </c>
      <c r="L107" s="107"/>
      <c r="M107" s="128"/>
      <c r="N107" s="107"/>
    </row>
    <row r="108" spans="3:14" x14ac:dyDescent="0.15">
      <c r="G108" s="12">
        <v>70.400000000000006</v>
      </c>
      <c r="H108" s="133">
        <v>127.5</v>
      </c>
      <c r="I108" s="12">
        <v>50.6</v>
      </c>
      <c r="L108" s="107"/>
      <c r="M108" s="128"/>
      <c r="N108" s="107"/>
    </row>
  </sheetData>
  <mergeCells count="6">
    <mergeCell ref="M6:N6"/>
    <mergeCell ref="M29:N29"/>
    <mergeCell ref="X6:Y6"/>
    <mergeCell ref="X29:Y29"/>
    <mergeCell ref="AI6:AJ6"/>
    <mergeCell ref="AI29:AJ29"/>
  </mergeCells>
  <conditionalFormatting sqref="Q21:Q24">
    <cfRule type="cellIs" dxfId="43" priority="41" operator="greaterThan">
      <formula>0.05</formula>
    </cfRule>
    <cfRule type="cellIs" dxfId="42" priority="42" operator="lessThan">
      <formula>0.05</formula>
    </cfRule>
  </conditionalFormatting>
  <conditionalFormatting sqref="Q44:Q46">
    <cfRule type="cellIs" dxfId="41" priority="19" operator="greaterThan">
      <formula>0.05</formula>
    </cfRule>
    <cfRule type="cellIs" dxfId="40" priority="20" operator="lessThan">
      <formula>0.05</formula>
    </cfRule>
  </conditionalFormatting>
  <conditionalFormatting sqref="R15:R16">
    <cfRule type="cellIs" dxfId="39" priority="39" operator="greaterThan">
      <formula>0.05</formula>
    </cfRule>
    <cfRule type="cellIs" dxfId="38" priority="40" operator="lessThan">
      <formula>0.05</formula>
    </cfRule>
  </conditionalFormatting>
  <conditionalFormatting sqref="R38:R39">
    <cfRule type="cellIs" dxfId="37" priority="17" operator="greaterThan">
      <formula>0.05</formula>
    </cfRule>
    <cfRule type="cellIs" dxfId="36" priority="18" operator="lessThan">
      <formula>0.05</formula>
    </cfRule>
  </conditionalFormatting>
  <conditionalFormatting sqref="AB21:AB24">
    <cfRule type="cellIs" dxfId="35" priority="11" operator="greaterThan">
      <formula>0.05</formula>
    </cfRule>
    <cfRule type="cellIs" dxfId="34" priority="12" operator="lessThan">
      <formula>0.05</formula>
    </cfRule>
  </conditionalFormatting>
  <conditionalFormatting sqref="AB44:AB46">
    <cfRule type="cellIs" dxfId="33" priority="15" operator="greaterThan">
      <formula>0.05</formula>
    </cfRule>
    <cfRule type="cellIs" dxfId="32" priority="16" operator="lessThan">
      <formula>0.05</formula>
    </cfRule>
  </conditionalFormatting>
  <conditionalFormatting sqref="AC15:AC16">
    <cfRule type="cellIs" dxfId="31" priority="9" operator="greaterThan">
      <formula>0.05</formula>
    </cfRule>
    <cfRule type="cellIs" dxfId="30" priority="10" operator="lessThan">
      <formula>0.05</formula>
    </cfRule>
  </conditionalFormatting>
  <conditionalFormatting sqref="AC38:AC39">
    <cfRule type="cellIs" dxfId="29" priority="13" operator="greaterThan">
      <formula>0.05</formula>
    </cfRule>
    <cfRule type="cellIs" dxfId="28" priority="14" operator="lessThan">
      <formula>0.05</formula>
    </cfRule>
  </conditionalFormatting>
  <conditionalFormatting sqref="AM21:AM24">
    <cfRule type="cellIs" dxfId="27" priority="7" operator="greaterThan">
      <formula>0.05</formula>
    </cfRule>
    <cfRule type="cellIs" dxfId="26" priority="8" operator="lessThan">
      <formula>0.05</formula>
    </cfRule>
  </conditionalFormatting>
  <conditionalFormatting sqref="AM44:AM46">
    <cfRule type="cellIs" dxfId="25" priority="3" operator="greaterThan">
      <formula>0.05</formula>
    </cfRule>
    <cfRule type="cellIs" dxfId="24" priority="4" operator="lessThan">
      <formula>0.05</formula>
    </cfRule>
  </conditionalFormatting>
  <conditionalFormatting sqref="AN15:AN16">
    <cfRule type="cellIs" dxfId="23" priority="5" operator="greaterThan">
      <formula>0.05</formula>
    </cfRule>
    <cfRule type="cellIs" dxfId="22" priority="6" operator="lessThan">
      <formula>0.05</formula>
    </cfRule>
  </conditionalFormatting>
  <conditionalFormatting sqref="AN38:AN39">
    <cfRule type="cellIs" dxfId="21" priority="1" operator="greaterThan">
      <formula>0.05</formula>
    </cfRule>
    <cfRule type="cellIs" dxfId="20" priority="2" operator="lessThan">
      <formula>0.05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B208-433E-4F2A-A33C-7C9A5A241118}">
  <dimension ref="A2:AP107"/>
  <sheetViews>
    <sheetView topLeftCell="L1" zoomScale="71" workbookViewId="0">
      <selection activeCell="AJ31" sqref="AJ31"/>
    </sheetView>
  </sheetViews>
  <sheetFormatPr baseColWidth="10" defaultColWidth="8.83203125" defaultRowHeight="13" x14ac:dyDescent="0.15"/>
  <cols>
    <col min="12" max="12" width="19.1640625" bestFit="1" customWidth="1"/>
    <col min="13" max="13" width="18.5" customWidth="1"/>
    <col min="14" max="14" width="13.5" bestFit="1" customWidth="1"/>
    <col min="15" max="15" width="12.6640625" bestFit="1" customWidth="1"/>
    <col min="16" max="16" width="12.5" bestFit="1" customWidth="1"/>
    <col min="17" max="17" width="12.83203125" bestFit="1" customWidth="1"/>
    <col min="18" max="20" width="12.6640625" bestFit="1" customWidth="1"/>
    <col min="23" max="23" width="19.1640625" bestFit="1" customWidth="1"/>
    <col min="24" max="24" width="12.6640625" bestFit="1" customWidth="1"/>
    <col min="25" max="25" width="13.5" bestFit="1" customWidth="1"/>
    <col min="26" max="26" width="12.6640625" bestFit="1" customWidth="1"/>
    <col min="27" max="27" width="12.5" bestFit="1" customWidth="1"/>
    <col min="28" max="28" width="12.83203125" bestFit="1" customWidth="1"/>
    <col min="29" max="31" width="12.6640625" bestFit="1" customWidth="1"/>
    <col min="34" max="34" width="19.1640625" bestFit="1" customWidth="1"/>
    <col min="35" max="35" width="12.6640625" bestFit="1" customWidth="1"/>
    <col min="36" max="36" width="13.5" bestFit="1" customWidth="1"/>
    <col min="37" max="37" width="12.6640625" bestFit="1" customWidth="1"/>
    <col min="38" max="38" width="12.1640625" bestFit="1" customWidth="1"/>
    <col min="39" max="39" width="12.83203125" bestFit="1" customWidth="1"/>
    <col min="40" max="42" width="12.6640625" bestFit="1" customWidth="1"/>
  </cols>
  <sheetData>
    <row r="2" spans="1:39" ht="16" x14ac:dyDescent="0.2">
      <c r="A2" s="16" t="s">
        <v>0</v>
      </c>
    </row>
    <row r="4" spans="1:39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8" t="s">
        <v>10</v>
      </c>
      <c r="L4" t="s">
        <v>12</v>
      </c>
      <c r="W4" t="s">
        <v>12</v>
      </c>
      <c r="AH4" t="s">
        <v>12</v>
      </c>
    </row>
    <row r="5" spans="1:39" x14ac:dyDescent="0.15">
      <c r="A5" s="1">
        <v>1</v>
      </c>
      <c r="B5" s="2">
        <v>12.6</v>
      </c>
      <c r="C5" s="3">
        <v>23</v>
      </c>
      <c r="D5" s="4">
        <v>154.25</v>
      </c>
      <c r="E5" s="4">
        <v>67.75</v>
      </c>
      <c r="F5" s="2">
        <v>36.200000000000003</v>
      </c>
      <c r="G5" s="2">
        <v>93.1</v>
      </c>
      <c r="H5" s="2">
        <v>85.2</v>
      </c>
      <c r="I5" s="2">
        <v>94.5</v>
      </c>
      <c r="J5" s="2">
        <v>59</v>
      </c>
    </row>
    <row r="6" spans="1:39" ht="13" customHeight="1" x14ac:dyDescent="0.15">
      <c r="A6" s="6">
        <v>2</v>
      </c>
      <c r="B6" s="7">
        <v>6.9</v>
      </c>
      <c r="C6" s="8">
        <v>22</v>
      </c>
      <c r="D6" s="9">
        <v>173.25</v>
      </c>
      <c r="E6" s="9">
        <v>72.25</v>
      </c>
      <c r="F6" s="7">
        <v>38.5</v>
      </c>
      <c r="G6" s="7">
        <v>93.6</v>
      </c>
      <c r="H6" s="7">
        <v>83</v>
      </c>
      <c r="I6" s="7">
        <v>98.7</v>
      </c>
      <c r="J6" s="7">
        <v>58.7</v>
      </c>
      <c r="L6" s="249" t="s">
        <v>14</v>
      </c>
      <c r="M6" s="249"/>
      <c r="W6" s="249" t="s">
        <v>14</v>
      </c>
      <c r="X6" s="249"/>
      <c r="AH6" s="249" t="s">
        <v>14</v>
      </c>
      <c r="AI6" s="249"/>
    </row>
    <row r="7" spans="1:39" x14ac:dyDescent="0.15">
      <c r="A7" s="6">
        <v>3</v>
      </c>
      <c r="B7" s="7">
        <v>24.6</v>
      </c>
      <c r="C7" s="8">
        <v>22</v>
      </c>
      <c r="D7" s="9">
        <v>154</v>
      </c>
      <c r="E7" s="9">
        <v>66.25</v>
      </c>
      <c r="F7" s="7">
        <v>34</v>
      </c>
      <c r="G7" s="7">
        <v>95.8</v>
      </c>
      <c r="H7" s="7">
        <v>87.9</v>
      </c>
      <c r="I7" s="7">
        <v>99.2</v>
      </c>
      <c r="J7" s="7">
        <v>59.6</v>
      </c>
      <c r="L7" t="s">
        <v>15</v>
      </c>
      <c r="M7">
        <v>0.91360754457303195</v>
      </c>
      <c r="W7" t="s">
        <v>15</v>
      </c>
      <c r="X7">
        <v>0.91081284765792203</v>
      </c>
      <c r="AH7" t="s">
        <v>15</v>
      </c>
      <c r="AI7">
        <v>0.91116174310564402</v>
      </c>
    </row>
    <row r="8" spans="1:39" x14ac:dyDescent="0.15">
      <c r="A8" s="6">
        <v>4</v>
      </c>
      <c r="B8" s="7">
        <v>10.9</v>
      </c>
      <c r="C8" s="8">
        <v>26</v>
      </c>
      <c r="D8" s="9">
        <v>184.75</v>
      </c>
      <c r="E8" s="9">
        <v>72.25</v>
      </c>
      <c r="F8" s="7">
        <v>37.4</v>
      </c>
      <c r="G8" s="7">
        <v>101.8</v>
      </c>
      <c r="H8" s="7">
        <v>86.4</v>
      </c>
      <c r="I8" s="7">
        <v>101.2</v>
      </c>
      <c r="J8" s="7">
        <v>60.1</v>
      </c>
      <c r="L8" t="s">
        <v>16</v>
      </c>
      <c r="M8">
        <v>0.83467874550076404</v>
      </c>
      <c r="W8" t="s">
        <v>16</v>
      </c>
      <c r="X8">
        <v>0.82958004345873304</v>
      </c>
      <c r="AH8" t="s">
        <v>16</v>
      </c>
      <c r="AI8">
        <v>0.83021572209931505</v>
      </c>
    </row>
    <row r="9" spans="1:39" x14ac:dyDescent="0.15">
      <c r="A9" s="6">
        <v>5</v>
      </c>
      <c r="B9" s="7">
        <v>27.8</v>
      </c>
      <c r="C9" s="8">
        <v>24</v>
      </c>
      <c r="D9" s="9">
        <v>184.25</v>
      </c>
      <c r="E9" s="9">
        <v>71.25</v>
      </c>
      <c r="F9" s="7">
        <v>34.4</v>
      </c>
      <c r="G9" s="7">
        <v>97.3</v>
      </c>
      <c r="H9" s="7">
        <v>100</v>
      </c>
      <c r="I9" s="7">
        <v>101.9</v>
      </c>
      <c r="J9" s="7">
        <v>63.2</v>
      </c>
      <c r="L9" t="s">
        <v>17</v>
      </c>
      <c r="M9" s="116">
        <v>0.81998352287860998</v>
      </c>
      <c r="W9" t="s">
        <v>17</v>
      </c>
      <c r="X9" s="116">
        <v>0.814431602877287</v>
      </c>
      <c r="AH9" t="s">
        <v>17</v>
      </c>
      <c r="AI9" s="116">
        <v>0.81512378628592097</v>
      </c>
    </row>
    <row r="10" spans="1:39" x14ac:dyDescent="0.15">
      <c r="A10" s="6">
        <v>6</v>
      </c>
      <c r="B10" s="7">
        <v>20.6</v>
      </c>
      <c r="C10" s="8">
        <v>24</v>
      </c>
      <c r="D10" s="9">
        <v>210.25</v>
      </c>
      <c r="E10" s="9">
        <v>74.75</v>
      </c>
      <c r="F10" s="7">
        <v>39</v>
      </c>
      <c r="G10" s="7">
        <v>104.5</v>
      </c>
      <c r="H10" s="7">
        <v>94.4</v>
      </c>
      <c r="I10" s="7">
        <v>107.8</v>
      </c>
      <c r="J10" s="7">
        <v>66</v>
      </c>
      <c r="L10" t="s">
        <v>18</v>
      </c>
      <c r="M10">
        <v>3.85304673665618</v>
      </c>
      <c r="W10" t="s">
        <v>18</v>
      </c>
      <c r="X10">
        <v>3.91201179888539</v>
      </c>
      <c r="AH10" t="s">
        <v>18</v>
      </c>
      <c r="AI10">
        <v>3.9047089404147801</v>
      </c>
    </row>
    <row r="11" spans="1:39" x14ac:dyDescent="0.15">
      <c r="A11" s="6">
        <v>7</v>
      </c>
      <c r="B11" s="7">
        <v>19</v>
      </c>
      <c r="C11" s="8">
        <v>26</v>
      </c>
      <c r="D11" s="9">
        <v>181</v>
      </c>
      <c r="E11" s="9">
        <v>69.75</v>
      </c>
      <c r="F11" s="7">
        <v>36.4</v>
      </c>
      <c r="G11" s="7">
        <v>105.1</v>
      </c>
      <c r="H11" s="7">
        <v>90.7</v>
      </c>
      <c r="I11" s="7">
        <v>100.3</v>
      </c>
      <c r="J11" s="7">
        <v>58.4</v>
      </c>
      <c r="L11" s="118" t="s">
        <v>19</v>
      </c>
      <c r="M11" s="118">
        <v>50</v>
      </c>
      <c r="W11" s="118" t="s">
        <v>19</v>
      </c>
      <c r="X11" s="118">
        <v>50</v>
      </c>
      <c r="AH11" s="118" t="s">
        <v>19</v>
      </c>
      <c r="AI11" s="118">
        <v>50</v>
      </c>
    </row>
    <row r="12" spans="1:39" x14ac:dyDescent="0.15">
      <c r="A12" s="6">
        <v>8</v>
      </c>
      <c r="B12" s="7">
        <v>12.8</v>
      </c>
      <c r="C12" s="8">
        <v>25</v>
      </c>
      <c r="D12" s="9">
        <v>176</v>
      </c>
      <c r="E12" s="9">
        <v>72.5</v>
      </c>
      <c r="F12" s="7">
        <v>37.799999999999997</v>
      </c>
      <c r="G12" s="7">
        <v>99.6</v>
      </c>
      <c r="H12" s="7">
        <v>88.5</v>
      </c>
      <c r="I12" s="7">
        <v>97.1</v>
      </c>
      <c r="J12" s="7">
        <v>60</v>
      </c>
    </row>
    <row r="13" spans="1:39" x14ac:dyDescent="0.15">
      <c r="A13" s="6">
        <v>9</v>
      </c>
      <c r="B13" s="7">
        <v>5.0999999999999996</v>
      </c>
      <c r="C13" s="8">
        <v>25</v>
      </c>
      <c r="D13" s="9">
        <v>191</v>
      </c>
      <c r="E13" s="9">
        <v>74</v>
      </c>
      <c r="F13" s="7">
        <v>38.1</v>
      </c>
      <c r="G13" s="7">
        <v>100.9</v>
      </c>
      <c r="H13" s="7">
        <v>82.5</v>
      </c>
      <c r="I13" s="7">
        <v>99.9</v>
      </c>
      <c r="J13" s="7">
        <v>62.9</v>
      </c>
      <c r="L13" t="s">
        <v>20</v>
      </c>
      <c r="W13" t="s">
        <v>20</v>
      </c>
      <c r="AH13" t="s">
        <v>20</v>
      </c>
    </row>
    <row r="14" spans="1:39" x14ac:dyDescent="0.15">
      <c r="A14" s="6">
        <v>10</v>
      </c>
      <c r="B14" s="7">
        <v>12</v>
      </c>
      <c r="C14" s="8">
        <v>23</v>
      </c>
      <c r="D14" s="9">
        <v>198.25</v>
      </c>
      <c r="E14" s="9">
        <v>73.5</v>
      </c>
      <c r="F14" s="7">
        <v>42.1</v>
      </c>
      <c r="G14" s="7">
        <v>99.6</v>
      </c>
      <c r="H14" s="7">
        <v>88.6</v>
      </c>
      <c r="I14" s="7">
        <v>104.1</v>
      </c>
      <c r="J14" s="7">
        <v>63.1</v>
      </c>
      <c r="L14" s="178"/>
      <c r="M14" s="178" t="s">
        <v>21</v>
      </c>
      <c r="N14" s="178" t="s">
        <v>22</v>
      </c>
      <c r="O14" s="178" t="s">
        <v>23</v>
      </c>
      <c r="P14" s="178" t="s">
        <v>24</v>
      </c>
      <c r="Q14" s="178" t="s">
        <v>25</v>
      </c>
      <c r="W14" s="178"/>
      <c r="X14" s="178" t="s">
        <v>21</v>
      </c>
      <c r="Y14" s="178" t="s">
        <v>22</v>
      </c>
      <c r="Z14" s="178" t="s">
        <v>23</v>
      </c>
      <c r="AA14" s="178" t="s">
        <v>24</v>
      </c>
      <c r="AB14" s="178" t="s">
        <v>25</v>
      </c>
      <c r="AH14" s="178"/>
      <c r="AI14" s="178" t="s">
        <v>21</v>
      </c>
      <c r="AJ14" s="178" t="s">
        <v>22</v>
      </c>
      <c r="AK14" s="178" t="s">
        <v>23</v>
      </c>
      <c r="AL14" s="178" t="s">
        <v>24</v>
      </c>
      <c r="AM14" s="178" t="s">
        <v>25</v>
      </c>
    </row>
    <row r="15" spans="1:39" x14ac:dyDescent="0.15">
      <c r="A15" s="6">
        <v>11</v>
      </c>
      <c r="B15" s="7">
        <v>7.5</v>
      </c>
      <c r="C15" s="8">
        <v>26</v>
      </c>
      <c r="D15" s="9">
        <v>186.25</v>
      </c>
      <c r="E15" s="9">
        <v>74.5</v>
      </c>
      <c r="F15" s="7">
        <v>38.5</v>
      </c>
      <c r="G15" s="7">
        <v>101.5</v>
      </c>
      <c r="H15" s="7">
        <v>83.6</v>
      </c>
      <c r="I15" s="7">
        <v>98.2</v>
      </c>
      <c r="J15" s="7">
        <v>59.7</v>
      </c>
      <c r="L15" t="s">
        <v>26</v>
      </c>
      <c r="M15">
        <v>4</v>
      </c>
      <c r="N15">
        <v>3372.9641880314398</v>
      </c>
      <c r="O15">
        <v>843.24104700785995</v>
      </c>
      <c r="P15">
        <v>56.799326349940202</v>
      </c>
      <c r="Q15" s="91">
        <v>0</v>
      </c>
      <c r="W15" t="s">
        <v>26</v>
      </c>
      <c r="X15">
        <v>4</v>
      </c>
      <c r="Y15">
        <v>3352.3601658421599</v>
      </c>
      <c r="Z15">
        <v>838.09004146054099</v>
      </c>
      <c r="AA15">
        <v>54.763395545467297</v>
      </c>
      <c r="AB15" s="91">
        <v>1.11022302462515E-16</v>
      </c>
      <c r="AH15" t="s">
        <v>26</v>
      </c>
      <c r="AI15">
        <v>4</v>
      </c>
      <c r="AJ15">
        <v>3354.9289640790198</v>
      </c>
      <c r="AK15">
        <v>838.73224101975495</v>
      </c>
      <c r="AL15">
        <v>55.010552149479402</v>
      </c>
      <c r="AM15" s="91">
        <v>1.11022302462515E-16</v>
      </c>
    </row>
    <row r="16" spans="1:39" x14ac:dyDescent="0.15">
      <c r="A16" s="6">
        <v>12</v>
      </c>
      <c r="B16" s="7">
        <v>8.5</v>
      </c>
      <c r="C16" s="8">
        <v>27</v>
      </c>
      <c r="D16" s="9">
        <v>216</v>
      </c>
      <c r="E16" s="9">
        <v>76</v>
      </c>
      <c r="F16" s="7">
        <v>39.4</v>
      </c>
      <c r="G16" s="7">
        <v>103.6</v>
      </c>
      <c r="H16" s="7">
        <v>90.9</v>
      </c>
      <c r="I16" s="7">
        <v>107.7</v>
      </c>
      <c r="J16" s="7">
        <v>66.2</v>
      </c>
      <c r="L16" t="s">
        <v>27</v>
      </c>
      <c r="M16">
        <v>45</v>
      </c>
      <c r="N16">
        <v>668.068611968558</v>
      </c>
      <c r="O16">
        <v>14.8459691548568</v>
      </c>
      <c r="W16" t="s">
        <v>27</v>
      </c>
      <c r="X16">
        <v>45</v>
      </c>
      <c r="Y16">
        <v>688.67263415783304</v>
      </c>
      <c r="Z16">
        <v>15.303836314618501</v>
      </c>
      <c r="AH16" t="s">
        <v>27</v>
      </c>
      <c r="AI16">
        <v>45</v>
      </c>
      <c r="AJ16">
        <v>686.10383592098003</v>
      </c>
      <c r="AK16">
        <v>15.246751909355099</v>
      </c>
    </row>
    <row r="17" spans="1:42" x14ac:dyDescent="0.15">
      <c r="A17" s="6">
        <v>13</v>
      </c>
      <c r="B17" s="7">
        <v>20.5</v>
      </c>
      <c r="C17" s="8">
        <v>32</v>
      </c>
      <c r="D17" s="9">
        <v>180.5</v>
      </c>
      <c r="E17" s="9">
        <v>69.5</v>
      </c>
      <c r="F17" s="7">
        <v>38.4</v>
      </c>
      <c r="G17" s="7">
        <v>102</v>
      </c>
      <c r="H17" s="7">
        <v>91.6</v>
      </c>
      <c r="I17" s="7">
        <v>103.9</v>
      </c>
      <c r="J17" s="7">
        <v>63.4</v>
      </c>
      <c r="L17" s="118" t="s">
        <v>28</v>
      </c>
      <c r="M17" s="118">
        <v>49</v>
      </c>
      <c r="N17" s="118">
        <v>4041.0328</v>
      </c>
      <c r="O17" s="118"/>
      <c r="P17" s="118"/>
      <c r="Q17" s="118"/>
      <c r="W17" s="118" t="s">
        <v>28</v>
      </c>
      <c r="X17" s="118">
        <v>49</v>
      </c>
      <c r="Y17" s="118">
        <v>4041.0328</v>
      </c>
      <c r="Z17" s="118"/>
      <c r="AA17" s="118"/>
      <c r="AB17" s="118"/>
      <c r="AH17" s="118" t="s">
        <v>28</v>
      </c>
      <c r="AI17" s="118">
        <v>49</v>
      </c>
      <c r="AJ17" s="118">
        <v>4041.0328</v>
      </c>
      <c r="AK17" s="118"/>
      <c r="AL17" s="118"/>
      <c r="AM17" s="118"/>
    </row>
    <row r="18" spans="1:42" x14ac:dyDescent="0.15">
      <c r="A18" s="6">
        <v>14</v>
      </c>
      <c r="B18" s="7">
        <v>20.8</v>
      </c>
      <c r="C18" s="8">
        <v>30</v>
      </c>
      <c r="D18" s="9">
        <v>205.25</v>
      </c>
      <c r="E18" s="9">
        <v>71.25</v>
      </c>
      <c r="F18" s="7">
        <v>39.4</v>
      </c>
      <c r="G18" s="7">
        <v>104.1</v>
      </c>
      <c r="H18" s="7">
        <v>101.8</v>
      </c>
      <c r="I18" s="7">
        <v>108.6</v>
      </c>
      <c r="J18" s="7">
        <v>66</v>
      </c>
    </row>
    <row r="19" spans="1:42" x14ac:dyDescent="0.15">
      <c r="A19" s="6">
        <v>15</v>
      </c>
      <c r="B19" s="7">
        <v>21.7</v>
      </c>
      <c r="C19" s="8">
        <v>35</v>
      </c>
      <c r="D19" s="9">
        <v>187.75</v>
      </c>
      <c r="E19" s="9">
        <v>69.5</v>
      </c>
      <c r="F19" s="7">
        <v>40.5</v>
      </c>
      <c r="G19" s="7">
        <v>101.3</v>
      </c>
      <c r="H19" s="7">
        <v>96.4</v>
      </c>
      <c r="I19" s="7">
        <v>100.1</v>
      </c>
      <c r="J19" s="7">
        <v>69</v>
      </c>
      <c r="L19" s="117"/>
      <c r="M19" s="178" t="s">
        <v>29</v>
      </c>
      <c r="N19" s="178" t="s">
        <v>18</v>
      </c>
      <c r="O19" s="178" t="s">
        <v>30</v>
      </c>
      <c r="P19" s="178" t="s">
        <v>31</v>
      </c>
      <c r="Q19" s="178" t="s">
        <v>32</v>
      </c>
      <c r="R19" s="178" t="s">
        <v>33</v>
      </c>
      <c r="S19" s="178" t="s">
        <v>32</v>
      </c>
      <c r="T19" s="178" t="s">
        <v>33</v>
      </c>
      <c r="W19" s="117"/>
      <c r="X19" s="178" t="s">
        <v>29</v>
      </c>
      <c r="Y19" s="178" t="s">
        <v>18</v>
      </c>
      <c r="Z19" s="178" t="s">
        <v>30</v>
      </c>
      <c r="AA19" s="178" t="s">
        <v>31</v>
      </c>
      <c r="AB19" s="178" t="s">
        <v>32</v>
      </c>
      <c r="AC19" s="178" t="s">
        <v>33</v>
      </c>
      <c r="AD19" s="178" t="s">
        <v>32</v>
      </c>
      <c r="AE19" s="178" t="s">
        <v>33</v>
      </c>
      <c r="AH19" s="117"/>
      <c r="AI19" s="178" t="s">
        <v>29</v>
      </c>
      <c r="AJ19" s="178" t="s">
        <v>18</v>
      </c>
      <c r="AK19" s="178" t="s">
        <v>30</v>
      </c>
      <c r="AL19" s="178" t="s">
        <v>31</v>
      </c>
      <c r="AM19" s="178" t="s">
        <v>32</v>
      </c>
      <c r="AN19" s="178" t="s">
        <v>33</v>
      </c>
      <c r="AO19" s="178" t="s">
        <v>32</v>
      </c>
      <c r="AP19" s="178" t="s">
        <v>33</v>
      </c>
    </row>
    <row r="20" spans="1:42" x14ac:dyDescent="0.15">
      <c r="A20" s="6">
        <v>16</v>
      </c>
      <c r="B20" s="7">
        <v>20.5</v>
      </c>
      <c r="C20" s="8">
        <v>35</v>
      </c>
      <c r="D20" s="9">
        <v>162.75</v>
      </c>
      <c r="E20" s="9">
        <v>66</v>
      </c>
      <c r="F20" s="7">
        <v>36.4</v>
      </c>
      <c r="G20" s="7">
        <v>99.1</v>
      </c>
      <c r="H20" s="7">
        <v>92.8</v>
      </c>
      <c r="I20" s="7">
        <v>99.2</v>
      </c>
      <c r="J20" s="7">
        <v>63.1</v>
      </c>
      <c r="L20" t="s">
        <v>36</v>
      </c>
      <c r="M20">
        <v>-61.689248436075999</v>
      </c>
      <c r="N20">
        <v>8.4539821685671299</v>
      </c>
      <c r="O20">
        <v>-7.2970639405230502</v>
      </c>
      <c r="P20" s="91">
        <v>3.7026839499497499E-9</v>
      </c>
      <c r="Q20">
        <v>-78.716442321221294</v>
      </c>
      <c r="R20">
        <v>-44.662054550930797</v>
      </c>
      <c r="S20">
        <v>-78.716442321221294</v>
      </c>
      <c r="T20">
        <v>-44.662054550930797</v>
      </c>
      <c r="W20" t="s">
        <v>36</v>
      </c>
      <c r="X20">
        <v>-52.590320817128401</v>
      </c>
      <c r="Y20">
        <v>12.569996336987</v>
      </c>
      <c r="Z20">
        <v>-4.1837976246963597</v>
      </c>
      <c r="AA20" s="91">
        <v>1.3103716297949101E-4</v>
      </c>
      <c r="AB20">
        <v>-77.907592665801005</v>
      </c>
      <c r="AC20">
        <v>-27.2730489684558</v>
      </c>
      <c r="AD20">
        <v>-77.907592665801005</v>
      </c>
      <c r="AE20">
        <v>-27.2730489684558</v>
      </c>
      <c r="AH20" t="s">
        <v>36</v>
      </c>
      <c r="AI20">
        <v>-51.843354520044102</v>
      </c>
      <c r="AJ20">
        <v>12.2491691310193</v>
      </c>
      <c r="AK20">
        <v>-4.2323976398332297</v>
      </c>
      <c r="AL20" s="91">
        <v>1.12330178658087E-4</v>
      </c>
      <c r="AM20">
        <v>-76.514447215423203</v>
      </c>
      <c r="AN20">
        <v>-27.172261824665</v>
      </c>
      <c r="AO20">
        <v>-76.514447215423203</v>
      </c>
      <c r="AP20">
        <v>-27.172261824665</v>
      </c>
    </row>
    <row r="21" spans="1:42" x14ac:dyDescent="0.15">
      <c r="A21" s="6">
        <v>17</v>
      </c>
      <c r="B21" s="7">
        <v>28.1</v>
      </c>
      <c r="C21" s="8">
        <v>34</v>
      </c>
      <c r="D21" s="9">
        <v>195.75</v>
      </c>
      <c r="E21" s="9">
        <v>71</v>
      </c>
      <c r="F21" s="7">
        <v>38.9</v>
      </c>
      <c r="G21" s="7">
        <v>101.9</v>
      </c>
      <c r="H21" s="7">
        <v>96.4</v>
      </c>
      <c r="I21" s="7">
        <v>105.2</v>
      </c>
      <c r="J21" s="7">
        <v>64.8</v>
      </c>
      <c r="L21" t="s">
        <v>8</v>
      </c>
      <c r="M21">
        <v>0.86321554729126104</v>
      </c>
      <c r="N21">
        <v>0.115643923012409</v>
      </c>
      <c r="O21">
        <v>7.4644263598583898</v>
      </c>
      <c r="P21" s="91">
        <v>2.0975057957757202E-9</v>
      </c>
      <c r="Q21">
        <v>0.63029673346972204</v>
      </c>
      <c r="R21">
        <v>1.0961343611128</v>
      </c>
      <c r="S21">
        <v>0.63029673346972204</v>
      </c>
      <c r="T21">
        <v>1.0961343611128</v>
      </c>
      <c r="W21" t="s">
        <v>8</v>
      </c>
      <c r="X21">
        <v>0.94133653933097206</v>
      </c>
      <c r="Y21">
        <v>9.8867797593478801E-2</v>
      </c>
      <c r="Z21">
        <v>9.5211642440092294</v>
      </c>
      <c r="AA21" s="91">
        <v>2.3638473504604399E-12</v>
      </c>
      <c r="AB21">
        <v>0.74220657607168194</v>
      </c>
      <c r="AC21">
        <v>1.1404665025902601</v>
      </c>
      <c r="AD21">
        <v>0.74220657607168194</v>
      </c>
      <c r="AE21">
        <v>1.1404665025902601</v>
      </c>
      <c r="AH21" t="s">
        <v>8</v>
      </c>
      <c r="AI21">
        <v>0.99900064805922195</v>
      </c>
      <c r="AJ21">
        <v>0.11534130230579601</v>
      </c>
      <c r="AK21">
        <v>8.6612568792629094</v>
      </c>
      <c r="AL21" s="91">
        <v>3.8359050179725698E-11</v>
      </c>
      <c r="AM21">
        <v>0.76669134361946401</v>
      </c>
      <c r="AN21">
        <v>1.2313099524989799</v>
      </c>
      <c r="AO21">
        <v>0.76669134361946401</v>
      </c>
      <c r="AP21">
        <v>1.2313099524989799</v>
      </c>
    </row>
    <row r="22" spans="1:42" x14ac:dyDescent="0.15">
      <c r="A22" s="6">
        <v>18</v>
      </c>
      <c r="B22" s="7">
        <v>22.4</v>
      </c>
      <c r="C22" s="8">
        <v>32</v>
      </c>
      <c r="D22" s="9">
        <v>209.25</v>
      </c>
      <c r="E22" s="9">
        <v>71</v>
      </c>
      <c r="F22" s="7">
        <v>42.1</v>
      </c>
      <c r="G22" s="7">
        <v>107.6</v>
      </c>
      <c r="H22" s="7">
        <v>97.5</v>
      </c>
      <c r="I22" s="7">
        <v>107</v>
      </c>
      <c r="J22" s="7">
        <v>66.900000000000006</v>
      </c>
      <c r="L22" t="s">
        <v>4</v>
      </c>
      <c r="M22">
        <v>-0.26797753215736603</v>
      </c>
      <c r="N22">
        <v>4.5901778760647903E-2</v>
      </c>
      <c r="O22">
        <v>-5.8380642187031304</v>
      </c>
      <c r="P22" s="91">
        <v>5.4279067979372205E-7</v>
      </c>
      <c r="Q22">
        <v>-0.36042845895688003</v>
      </c>
      <c r="R22">
        <v>-0.175526605357852</v>
      </c>
      <c r="S22">
        <v>-0.36042845895688003</v>
      </c>
      <c r="T22">
        <v>-0.175526605357852</v>
      </c>
      <c r="W22" t="s">
        <v>4</v>
      </c>
      <c r="X22">
        <v>-0.256422339424418</v>
      </c>
      <c r="Y22">
        <v>5.5162647051607797E-2</v>
      </c>
      <c r="Z22">
        <v>-4.64847778578355</v>
      </c>
      <c r="AA22" s="91">
        <v>2.93579546888301E-5</v>
      </c>
      <c r="AB22">
        <v>-0.36752561215875801</v>
      </c>
      <c r="AC22">
        <v>-0.14531906669007699</v>
      </c>
      <c r="AD22">
        <v>-0.36752561215875801</v>
      </c>
      <c r="AE22">
        <v>-0.14531906669007699</v>
      </c>
      <c r="AH22" t="s">
        <v>4</v>
      </c>
      <c r="AI22">
        <v>-0.25535371769488002</v>
      </c>
      <c r="AJ22">
        <v>5.3486204360277699E-2</v>
      </c>
      <c r="AK22">
        <v>-4.7741977720991997</v>
      </c>
      <c r="AL22" s="91">
        <v>1.9433185768150901E-5</v>
      </c>
      <c r="AM22">
        <v>-0.36308046157294399</v>
      </c>
      <c r="AN22">
        <v>-0.147626973816816</v>
      </c>
      <c r="AO22">
        <v>-0.36308046157294399</v>
      </c>
      <c r="AP22">
        <v>-0.147626973816816</v>
      </c>
    </row>
    <row r="23" spans="1:42" x14ac:dyDescent="0.15">
      <c r="A23" s="6">
        <v>19</v>
      </c>
      <c r="B23" s="7">
        <v>16.100000000000001</v>
      </c>
      <c r="C23" s="8">
        <v>28</v>
      </c>
      <c r="D23" s="9">
        <v>183.75</v>
      </c>
      <c r="E23" s="9">
        <v>67.75</v>
      </c>
      <c r="F23" s="7">
        <v>38</v>
      </c>
      <c r="G23" s="7">
        <v>106.8</v>
      </c>
      <c r="H23" s="7">
        <v>89.6</v>
      </c>
      <c r="I23" s="7">
        <v>102.4</v>
      </c>
      <c r="J23" s="7">
        <v>64.2</v>
      </c>
      <c r="L23" t="s">
        <v>10</v>
      </c>
      <c r="M23">
        <v>0.73718901201432896</v>
      </c>
      <c r="N23">
        <v>0.249774494609947</v>
      </c>
      <c r="O23">
        <v>2.9514182909889799</v>
      </c>
      <c r="P23">
        <v>5.0089477982023399E-3</v>
      </c>
      <c r="Q23">
        <v>0.23411736335380401</v>
      </c>
      <c r="R23">
        <v>1.2402606606748501</v>
      </c>
      <c r="S23">
        <v>0.23411736335380401</v>
      </c>
      <c r="T23">
        <v>1.2402606606748501</v>
      </c>
      <c r="W23" t="s">
        <v>10</v>
      </c>
      <c r="X23">
        <v>0.65264360196714699</v>
      </c>
      <c r="Y23">
        <v>0.245468937689372</v>
      </c>
      <c r="Z23">
        <v>2.6587624817647302</v>
      </c>
      <c r="AA23">
        <v>1.08227886775726E-2</v>
      </c>
      <c r="AB23">
        <v>0.15824378996399599</v>
      </c>
      <c r="AC23">
        <v>1.1470434139702901</v>
      </c>
      <c r="AD23">
        <v>0.15824378996399599</v>
      </c>
      <c r="AE23">
        <v>1.1470434139702901</v>
      </c>
      <c r="AH23" t="s">
        <v>10</v>
      </c>
      <c r="AI23">
        <v>0.71808291202633201</v>
      </c>
      <c r="AJ23">
        <v>0.25887476310763702</v>
      </c>
      <c r="AK23">
        <v>2.7738621695146</v>
      </c>
      <c r="AL23">
        <v>8.0353264688087806E-3</v>
      </c>
      <c r="AM23">
        <v>0.19668238201410701</v>
      </c>
      <c r="AN23">
        <v>1.2394834420385501</v>
      </c>
      <c r="AO23">
        <v>0.19668238201410701</v>
      </c>
      <c r="AP23">
        <v>1.2394834420385501</v>
      </c>
    </row>
    <row r="24" spans="1:42" x14ac:dyDescent="0.15">
      <c r="A24" s="6">
        <v>20</v>
      </c>
      <c r="B24" s="7">
        <v>16.5</v>
      </c>
      <c r="C24" s="8">
        <v>33</v>
      </c>
      <c r="D24" s="9">
        <v>211.75</v>
      </c>
      <c r="E24" s="9">
        <v>73.5</v>
      </c>
      <c r="F24" s="7">
        <v>40</v>
      </c>
      <c r="G24" s="7">
        <v>106.2</v>
      </c>
      <c r="H24" s="7">
        <v>100.5</v>
      </c>
      <c r="I24" s="7">
        <v>109</v>
      </c>
      <c r="J24" s="7">
        <v>65.8</v>
      </c>
      <c r="L24" s="119" t="s">
        <v>3</v>
      </c>
      <c r="M24" s="118">
        <v>0.11170053644658499</v>
      </c>
      <c r="N24" s="118">
        <v>8.1733578430787504E-2</v>
      </c>
      <c r="O24" s="118">
        <v>1.36664194314181</v>
      </c>
      <c r="P24" s="118">
        <v>0.17852732449429101</v>
      </c>
      <c r="Q24" s="118">
        <v>-5.29193384382017E-2</v>
      </c>
      <c r="R24" s="118">
        <v>0.27632041133137297</v>
      </c>
      <c r="S24" s="118">
        <v>-5.29193384382017E-2</v>
      </c>
      <c r="T24" s="118">
        <v>0.27632041133137297</v>
      </c>
      <c r="W24" s="119" t="s">
        <v>6</v>
      </c>
      <c r="X24" s="118">
        <v>-0.24857954625474499</v>
      </c>
      <c r="Y24" s="118">
        <v>0.36433862094985198</v>
      </c>
      <c r="Z24" s="118">
        <v>-0.68227613533444298</v>
      </c>
      <c r="AA24" s="118">
        <v>0.49856147404227602</v>
      </c>
      <c r="AB24" s="118">
        <v>-0.98239518663136105</v>
      </c>
      <c r="AC24" s="118">
        <v>0.48523609412186902</v>
      </c>
      <c r="AD24" s="118">
        <v>-0.98239518663136105</v>
      </c>
      <c r="AE24" s="118">
        <v>0.48523609412186902</v>
      </c>
      <c r="AH24" s="119" t="s">
        <v>9</v>
      </c>
      <c r="AI24" s="118">
        <v>-0.19329617611128899</v>
      </c>
      <c r="AJ24" s="118">
        <v>0.24243119327696</v>
      </c>
      <c r="AK24" s="118">
        <v>-0.79732386537594602</v>
      </c>
      <c r="AL24" s="118">
        <v>0.42945012126407101</v>
      </c>
      <c r="AM24" s="118">
        <v>-0.68157765688871597</v>
      </c>
      <c r="AN24" s="118">
        <v>0.29498530466613798</v>
      </c>
      <c r="AO24" s="118">
        <v>-0.68157765688871597</v>
      </c>
      <c r="AP24" s="118">
        <v>0.29498530466613798</v>
      </c>
    </row>
    <row r="25" spans="1:42" x14ac:dyDescent="0.15">
      <c r="A25" s="6">
        <v>21</v>
      </c>
      <c r="B25" s="7">
        <v>19</v>
      </c>
      <c r="C25" s="8">
        <v>28</v>
      </c>
      <c r="D25" s="9">
        <v>179</v>
      </c>
      <c r="E25" s="9">
        <v>68</v>
      </c>
      <c r="F25" s="7">
        <v>39.1</v>
      </c>
      <c r="G25" s="7">
        <v>103.3</v>
      </c>
      <c r="H25" s="7">
        <v>95.9</v>
      </c>
      <c r="I25" s="7">
        <v>104.9</v>
      </c>
      <c r="J25" s="7">
        <v>63.5</v>
      </c>
    </row>
    <row r="26" spans="1:42" x14ac:dyDescent="0.15">
      <c r="A26" s="6">
        <v>22</v>
      </c>
      <c r="B26" s="7">
        <v>15.3</v>
      </c>
      <c r="C26" s="8">
        <v>28</v>
      </c>
      <c r="D26" s="9">
        <v>200.5</v>
      </c>
      <c r="E26" s="9">
        <v>69.75</v>
      </c>
      <c r="F26" s="7">
        <v>41.3</v>
      </c>
      <c r="G26" s="7">
        <v>111.4</v>
      </c>
      <c r="H26" s="7">
        <v>98.8</v>
      </c>
      <c r="I26" s="7">
        <v>104.8</v>
      </c>
      <c r="J26" s="7">
        <v>63.4</v>
      </c>
    </row>
    <row r="27" spans="1:42" x14ac:dyDescent="0.15">
      <c r="A27" s="6">
        <v>23</v>
      </c>
      <c r="B27" s="7">
        <v>15.7</v>
      </c>
      <c r="C27" s="8">
        <v>31</v>
      </c>
      <c r="D27" s="9">
        <v>140.25</v>
      </c>
      <c r="E27" s="9">
        <v>68.25</v>
      </c>
      <c r="F27" s="7">
        <v>33.9</v>
      </c>
      <c r="G27" s="7">
        <v>86</v>
      </c>
      <c r="H27" s="7">
        <v>76.400000000000006</v>
      </c>
      <c r="I27" s="7">
        <v>94.6</v>
      </c>
      <c r="J27" s="7">
        <v>57.4</v>
      </c>
    </row>
    <row r="28" spans="1:42" x14ac:dyDescent="0.15">
      <c r="A28" s="6">
        <v>24</v>
      </c>
      <c r="B28" s="7">
        <v>17.600000000000001</v>
      </c>
      <c r="C28" s="8">
        <v>32</v>
      </c>
      <c r="D28" s="9">
        <v>148.75</v>
      </c>
      <c r="E28" s="9">
        <v>70</v>
      </c>
      <c r="F28" s="7">
        <v>35.5</v>
      </c>
      <c r="G28" s="7">
        <v>86.7</v>
      </c>
      <c r="H28" s="7">
        <v>80</v>
      </c>
      <c r="I28" s="7">
        <v>93.4</v>
      </c>
      <c r="J28" s="7">
        <v>54.9</v>
      </c>
      <c r="L28" t="s">
        <v>12</v>
      </c>
      <c r="W28" t="s">
        <v>12</v>
      </c>
    </row>
    <row r="29" spans="1:42" x14ac:dyDescent="0.15">
      <c r="A29" s="6">
        <v>25</v>
      </c>
      <c r="B29" s="7">
        <v>14.2</v>
      </c>
      <c r="C29" s="8">
        <v>28</v>
      </c>
      <c r="D29" s="9">
        <v>151.25</v>
      </c>
      <c r="E29" s="9">
        <v>67.75</v>
      </c>
      <c r="F29" s="7">
        <v>34.5</v>
      </c>
      <c r="G29" s="7">
        <v>90.2</v>
      </c>
      <c r="H29" s="7">
        <v>76.3</v>
      </c>
      <c r="I29" s="7">
        <v>95.8</v>
      </c>
      <c r="J29" s="7">
        <v>58.4</v>
      </c>
    </row>
    <row r="30" spans="1:42" x14ac:dyDescent="0.15">
      <c r="A30" s="6">
        <v>26</v>
      </c>
      <c r="B30" s="7">
        <v>4.5999999999999996</v>
      </c>
      <c r="C30" s="8">
        <v>27</v>
      </c>
      <c r="D30" s="9">
        <v>159.25</v>
      </c>
      <c r="E30" s="9">
        <v>71.5</v>
      </c>
      <c r="F30" s="7">
        <v>35.700000000000003</v>
      </c>
      <c r="G30" s="7">
        <v>89.6</v>
      </c>
      <c r="H30" s="7">
        <v>79.7</v>
      </c>
      <c r="I30" s="7">
        <v>96.5</v>
      </c>
      <c r="J30" s="7">
        <v>55</v>
      </c>
      <c r="L30" s="249" t="s">
        <v>14</v>
      </c>
      <c r="M30" s="249"/>
      <c r="W30" s="249" t="s">
        <v>14</v>
      </c>
      <c r="X30" s="249"/>
    </row>
    <row r="31" spans="1:42" x14ac:dyDescent="0.15">
      <c r="A31" s="6">
        <v>27</v>
      </c>
      <c r="B31" s="7">
        <v>8.5</v>
      </c>
      <c r="C31" s="8">
        <v>34</v>
      </c>
      <c r="D31" s="9">
        <v>131.5</v>
      </c>
      <c r="E31" s="9">
        <v>67.5</v>
      </c>
      <c r="F31" s="7">
        <v>36.200000000000003</v>
      </c>
      <c r="G31" s="7">
        <v>88.6</v>
      </c>
      <c r="H31" s="7">
        <v>74.599999999999994</v>
      </c>
      <c r="I31" s="7">
        <v>85.3</v>
      </c>
      <c r="J31" s="7">
        <v>51.7</v>
      </c>
      <c r="L31" t="s">
        <v>15</v>
      </c>
      <c r="M31">
        <v>0.91076024994363003</v>
      </c>
      <c r="W31" t="s">
        <v>15</v>
      </c>
      <c r="X31">
        <v>0.90985049702446896</v>
      </c>
    </row>
    <row r="32" spans="1:42" x14ac:dyDescent="0.15">
      <c r="A32" s="6">
        <v>28</v>
      </c>
      <c r="B32" s="7">
        <v>22.4</v>
      </c>
      <c r="C32" s="8">
        <v>31</v>
      </c>
      <c r="D32" s="9">
        <v>148</v>
      </c>
      <c r="E32" s="9">
        <v>67.5</v>
      </c>
      <c r="F32" s="7">
        <v>38.799999999999997</v>
      </c>
      <c r="G32" s="7">
        <v>97.4</v>
      </c>
      <c r="H32" s="7">
        <v>88.7</v>
      </c>
      <c r="I32" s="7">
        <v>94.7</v>
      </c>
      <c r="J32" s="7">
        <v>57.5</v>
      </c>
      <c r="L32" t="s">
        <v>16</v>
      </c>
      <c r="M32">
        <v>0.82948423287738404</v>
      </c>
      <c r="W32" t="s">
        <v>16</v>
      </c>
      <c r="X32">
        <v>0.82782792693567397</v>
      </c>
    </row>
    <row r="33" spans="1:31" x14ac:dyDescent="0.15">
      <c r="A33" s="6">
        <v>29</v>
      </c>
      <c r="B33" s="7">
        <v>4.7</v>
      </c>
      <c r="C33" s="8">
        <v>27</v>
      </c>
      <c r="D33" s="9">
        <v>133.25</v>
      </c>
      <c r="E33" s="9">
        <v>64.75</v>
      </c>
      <c r="F33" s="7">
        <v>36.4</v>
      </c>
      <c r="G33" s="7">
        <v>93.5</v>
      </c>
      <c r="H33" s="7">
        <v>73.900000000000006</v>
      </c>
      <c r="I33" s="7">
        <v>88.5</v>
      </c>
      <c r="J33" s="7">
        <v>50.1</v>
      </c>
      <c r="L33" t="s">
        <v>17</v>
      </c>
      <c r="M33" s="116">
        <v>0.81432727579981801</v>
      </c>
      <c r="W33" t="s">
        <v>17</v>
      </c>
      <c r="X33" s="116">
        <v>0.81252374266328897</v>
      </c>
    </row>
    <row r="34" spans="1:31" x14ac:dyDescent="0.15">
      <c r="A34" s="6">
        <v>30</v>
      </c>
      <c r="B34" s="7">
        <v>9.4</v>
      </c>
      <c r="C34" s="8">
        <v>29</v>
      </c>
      <c r="D34" s="9">
        <v>160.75</v>
      </c>
      <c r="E34" s="9">
        <v>69</v>
      </c>
      <c r="F34" s="7">
        <v>36.700000000000003</v>
      </c>
      <c r="G34" s="7">
        <v>97.4</v>
      </c>
      <c r="H34" s="7">
        <v>83.5</v>
      </c>
      <c r="I34" s="7">
        <v>98.7</v>
      </c>
      <c r="J34" s="7">
        <v>58.9</v>
      </c>
      <c r="L34" t="s">
        <v>18</v>
      </c>
      <c r="M34">
        <v>3.9131113164154798</v>
      </c>
      <c r="W34" t="s">
        <v>18</v>
      </c>
      <c r="X34">
        <v>3.93207040317025</v>
      </c>
    </row>
    <row r="35" spans="1:31" x14ac:dyDescent="0.15">
      <c r="A35" s="6">
        <v>31</v>
      </c>
      <c r="B35" s="7">
        <v>12.3</v>
      </c>
      <c r="C35" s="8">
        <v>32</v>
      </c>
      <c r="D35" s="9">
        <v>182</v>
      </c>
      <c r="E35" s="9">
        <v>73.75</v>
      </c>
      <c r="F35" s="7">
        <v>38.700000000000003</v>
      </c>
      <c r="G35" s="7">
        <v>100.5</v>
      </c>
      <c r="H35" s="7">
        <v>88.7</v>
      </c>
      <c r="I35" s="7">
        <v>99.8</v>
      </c>
      <c r="J35" s="7">
        <v>57.5</v>
      </c>
      <c r="L35" s="118" t="s">
        <v>19</v>
      </c>
      <c r="M35" s="118">
        <v>50</v>
      </c>
      <c r="W35" s="118" t="s">
        <v>19</v>
      </c>
      <c r="X35" s="118">
        <v>50</v>
      </c>
    </row>
    <row r="36" spans="1:31" x14ac:dyDescent="0.15">
      <c r="A36" s="6">
        <v>32</v>
      </c>
      <c r="B36" s="7">
        <v>6.5</v>
      </c>
      <c r="C36" s="8">
        <v>29</v>
      </c>
      <c r="D36" s="9">
        <v>160.25</v>
      </c>
      <c r="E36" s="9">
        <v>71.25</v>
      </c>
      <c r="F36" s="7">
        <v>37.299999999999997</v>
      </c>
      <c r="G36" s="7">
        <v>93.5</v>
      </c>
      <c r="H36" s="7">
        <v>84.5</v>
      </c>
      <c r="I36" s="7">
        <v>100.6</v>
      </c>
      <c r="J36" s="7">
        <v>58.5</v>
      </c>
    </row>
    <row r="37" spans="1:31" x14ac:dyDescent="0.15">
      <c r="A37" s="6">
        <v>33</v>
      </c>
      <c r="B37" s="7">
        <v>13.4</v>
      </c>
      <c r="C37" s="8">
        <v>27</v>
      </c>
      <c r="D37" s="9">
        <v>168</v>
      </c>
      <c r="E37" s="9">
        <v>71.25</v>
      </c>
      <c r="F37" s="7">
        <v>38.1</v>
      </c>
      <c r="G37" s="7">
        <v>93</v>
      </c>
      <c r="H37" s="7">
        <v>79.099999999999994</v>
      </c>
      <c r="I37" s="7">
        <v>94.5</v>
      </c>
      <c r="J37" s="7">
        <v>57.3</v>
      </c>
      <c r="L37" t="s">
        <v>20</v>
      </c>
      <c r="W37" t="s">
        <v>20</v>
      </c>
    </row>
    <row r="38" spans="1:31" x14ac:dyDescent="0.15">
      <c r="A38" s="6">
        <v>34</v>
      </c>
      <c r="B38" s="7">
        <v>20.9</v>
      </c>
      <c r="C38" s="8">
        <v>41</v>
      </c>
      <c r="D38" s="9">
        <v>218.5</v>
      </c>
      <c r="E38" s="9">
        <v>71</v>
      </c>
      <c r="F38" s="7">
        <v>39.799999999999997</v>
      </c>
      <c r="G38" s="7">
        <v>111.7</v>
      </c>
      <c r="H38" s="7">
        <v>100.5</v>
      </c>
      <c r="I38" s="7">
        <v>108.3</v>
      </c>
      <c r="J38" s="7">
        <v>67.099999999999994</v>
      </c>
      <c r="L38" s="178"/>
      <c r="M38" s="178" t="s">
        <v>21</v>
      </c>
      <c r="N38" s="178" t="s">
        <v>22</v>
      </c>
      <c r="O38" s="178" t="s">
        <v>23</v>
      </c>
      <c r="P38" s="178" t="s">
        <v>24</v>
      </c>
      <c r="Q38" s="178" t="s">
        <v>25</v>
      </c>
      <c r="W38" s="178"/>
      <c r="X38" s="178" t="s">
        <v>21</v>
      </c>
      <c r="Y38" s="178" t="s">
        <v>22</v>
      </c>
      <c r="Z38" s="178" t="s">
        <v>23</v>
      </c>
      <c r="AA38" s="178" t="s">
        <v>24</v>
      </c>
      <c r="AB38" s="178" t="s">
        <v>25</v>
      </c>
    </row>
    <row r="39" spans="1:31" x14ac:dyDescent="0.15">
      <c r="A39" s="6">
        <v>35</v>
      </c>
      <c r="B39" s="7">
        <v>31.1</v>
      </c>
      <c r="C39" s="8">
        <v>41</v>
      </c>
      <c r="D39" s="9">
        <v>247.25</v>
      </c>
      <c r="E39" s="9">
        <v>73.5</v>
      </c>
      <c r="F39" s="7">
        <v>42.1</v>
      </c>
      <c r="G39" s="7">
        <v>117</v>
      </c>
      <c r="H39" s="7">
        <v>115.6</v>
      </c>
      <c r="I39" s="7">
        <v>116.1</v>
      </c>
      <c r="J39" s="7">
        <v>71.2</v>
      </c>
      <c r="L39" t="s">
        <v>26</v>
      </c>
      <c r="M39">
        <v>4</v>
      </c>
      <c r="N39">
        <v>3351.97299214034</v>
      </c>
      <c r="O39">
        <v>837.99324803508705</v>
      </c>
      <c r="P39">
        <v>54.726303481133598</v>
      </c>
      <c r="Q39" s="91">
        <v>1.11022302462515E-16</v>
      </c>
      <c r="W39" t="s">
        <v>26</v>
      </c>
      <c r="X39">
        <v>4</v>
      </c>
      <c r="Y39">
        <v>3345.2798055030598</v>
      </c>
      <c r="Z39">
        <v>836.31995137576496</v>
      </c>
      <c r="AA39">
        <v>54.091607380175098</v>
      </c>
      <c r="AB39" s="91">
        <v>1.11022302462515E-16</v>
      </c>
    </row>
    <row r="40" spans="1:31" x14ac:dyDescent="0.15">
      <c r="A40" s="6">
        <v>36</v>
      </c>
      <c r="B40" s="7">
        <v>38.200000000000003</v>
      </c>
      <c r="C40" s="8">
        <v>49</v>
      </c>
      <c r="D40" s="9">
        <v>191.75</v>
      </c>
      <c r="E40" s="9">
        <v>65</v>
      </c>
      <c r="F40" s="7">
        <v>38.4</v>
      </c>
      <c r="G40" s="7">
        <v>118.5</v>
      </c>
      <c r="H40" s="7">
        <v>113.1</v>
      </c>
      <c r="I40" s="7">
        <v>113.8</v>
      </c>
      <c r="J40" s="7">
        <v>61.9</v>
      </c>
      <c r="L40" t="s">
        <v>27</v>
      </c>
      <c r="M40">
        <v>45</v>
      </c>
      <c r="N40">
        <v>689.05980785965096</v>
      </c>
      <c r="O40">
        <v>15.312440174658899</v>
      </c>
      <c r="W40" t="s">
        <v>27</v>
      </c>
      <c r="X40">
        <v>45</v>
      </c>
      <c r="Y40">
        <v>695.75299449693603</v>
      </c>
      <c r="Z40">
        <v>15.461177655487401</v>
      </c>
    </row>
    <row r="41" spans="1:31" x14ac:dyDescent="0.15">
      <c r="A41" s="6">
        <v>37</v>
      </c>
      <c r="B41" s="7">
        <v>23.6</v>
      </c>
      <c r="C41" s="8">
        <v>40</v>
      </c>
      <c r="D41" s="9">
        <v>202.25</v>
      </c>
      <c r="E41" s="9">
        <v>70</v>
      </c>
      <c r="F41" s="7">
        <v>38.5</v>
      </c>
      <c r="G41" s="7">
        <v>106.5</v>
      </c>
      <c r="H41" s="7">
        <v>100.9</v>
      </c>
      <c r="I41" s="7">
        <v>106.2</v>
      </c>
      <c r="J41" s="7">
        <v>63.5</v>
      </c>
      <c r="L41" s="118" t="s">
        <v>28</v>
      </c>
      <c r="M41" s="118">
        <v>49</v>
      </c>
      <c r="N41" s="118">
        <v>4041.0328</v>
      </c>
      <c r="O41" s="118"/>
      <c r="P41" s="118"/>
      <c r="Q41" s="118"/>
      <c r="W41" s="118" t="s">
        <v>28</v>
      </c>
      <c r="X41" s="118">
        <v>49</v>
      </c>
      <c r="Y41" s="118">
        <v>4041.0328</v>
      </c>
      <c r="Z41" s="118"/>
      <c r="AA41" s="118"/>
      <c r="AB41" s="118"/>
    </row>
    <row r="42" spans="1:31" x14ac:dyDescent="0.15">
      <c r="A42" s="6">
        <v>38</v>
      </c>
      <c r="B42" s="7">
        <v>27.5</v>
      </c>
      <c r="C42" s="8">
        <v>50</v>
      </c>
      <c r="D42" s="9">
        <v>196.75</v>
      </c>
      <c r="E42" s="9">
        <v>68.25</v>
      </c>
      <c r="F42" s="7">
        <v>42.1</v>
      </c>
      <c r="G42" s="7">
        <v>105.6</v>
      </c>
      <c r="H42" s="7">
        <v>98.8</v>
      </c>
      <c r="I42" s="7">
        <v>104.8</v>
      </c>
      <c r="J42" s="7">
        <v>66</v>
      </c>
    </row>
    <row r="43" spans="1:31" x14ac:dyDescent="0.15">
      <c r="A43" s="6">
        <v>39</v>
      </c>
      <c r="B43" s="7">
        <v>33.799999999999997</v>
      </c>
      <c r="C43" s="8">
        <v>46</v>
      </c>
      <c r="D43" s="9">
        <v>363.15</v>
      </c>
      <c r="E43" s="9">
        <v>72.25</v>
      </c>
      <c r="F43" s="7">
        <v>51.2</v>
      </c>
      <c r="G43" s="7">
        <v>136.19999999999999</v>
      </c>
      <c r="H43" s="7">
        <v>148.1</v>
      </c>
      <c r="I43" s="7">
        <v>147.69999999999999</v>
      </c>
      <c r="J43" s="7">
        <v>87.3</v>
      </c>
      <c r="L43" s="117"/>
      <c r="M43" s="178" t="s">
        <v>29</v>
      </c>
      <c r="N43" s="178" t="s">
        <v>18</v>
      </c>
      <c r="O43" s="178" t="s">
        <v>30</v>
      </c>
      <c r="P43" s="178" t="s">
        <v>31</v>
      </c>
      <c r="Q43" s="178" t="s">
        <v>32</v>
      </c>
      <c r="R43" s="178" t="s">
        <v>33</v>
      </c>
      <c r="S43" s="178" t="s">
        <v>32</v>
      </c>
      <c r="T43" s="178" t="s">
        <v>33</v>
      </c>
      <c r="W43" s="117"/>
      <c r="X43" s="178" t="s">
        <v>29</v>
      </c>
      <c r="Y43" s="178" t="s">
        <v>18</v>
      </c>
      <c r="Z43" s="178" t="s">
        <v>30</v>
      </c>
      <c r="AA43" s="178" t="s">
        <v>31</v>
      </c>
      <c r="AB43" s="178" t="s">
        <v>32</v>
      </c>
      <c r="AC43" s="178" t="s">
        <v>33</v>
      </c>
      <c r="AD43" s="178" t="s">
        <v>32</v>
      </c>
      <c r="AE43" s="178" t="s">
        <v>33</v>
      </c>
    </row>
    <row r="44" spans="1:31" x14ac:dyDescent="0.15">
      <c r="A44" s="6">
        <v>40</v>
      </c>
      <c r="B44" s="7">
        <v>31.3</v>
      </c>
      <c r="C44" s="8">
        <v>50</v>
      </c>
      <c r="D44" s="9">
        <v>203</v>
      </c>
      <c r="E44" s="9">
        <v>67</v>
      </c>
      <c r="F44" s="7">
        <v>40.200000000000003</v>
      </c>
      <c r="G44" s="7">
        <v>114.8</v>
      </c>
      <c r="H44" s="7">
        <v>108.1</v>
      </c>
      <c r="I44" s="7">
        <v>102.5</v>
      </c>
      <c r="J44" s="7">
        <v>61.3</v>
      </c>
      <c r="L44" t="s">
        <v>36</v>
      </c>
      <c r="M44">
        <v>-51.848774058961602</v>
      </c>
      <c r="N44">
        <v>13.6395139834907</v>
      </c>
      <c r="O44">
        <v>-3.80136521885745</v>
      </c>
      <c r="P44" s="91">
        <v>4.3017471777417399E-4</v>
      </c>
      <c r="Q44">
        <v>-79.320164992284404</v>
      </c>
      <c r="R44">
        <v>-24.3773831256389</v>
      </c>
      <c r="S44">
        <v>-79.320164992284404</v>
      </c>
      <c r="T44">
        <v>-24.3773831256389</v>
      </c>
      <c r="W44" t="s">
        <v>36</v>
      </c>
      <c r="X44">
        <v>-58.552339664422099</v>
      </c>
      <c r="Y44">
        <v>11.9234290613044</v>
      </c>
      <c r="Z44">
        <v>-4.9106963578493001</v>
      </c>
      <c r="AA44" s="91">
        <v>1.23773265399519E-5</v>
      </c>
      <c r="AB44">
        <v>-82.567358191130893</v>
      </c>
      <c r="AC44">
        <v>-34.537321137713199</v>
      </c>
      <c r="AD44">
        <v>-82.567358191130893</v>
      </c>
      <c r="AE44">
        <v>-34.537321137713199</v>
      </c>
    </row>
    <row r="45" spans="1:31" x14ac:dyDescent="0.15">
      <c r="A45" s="6">
        <v>41</v>
      </c>
      <c r="B45" s="7">
        <v>33.1</v>
      </c>
      <c r="C45" s="8">
        <v>45</v>
      </c>
      <c r="D45" s="9">
        <v>262.75</v>
      </c>
      <c r="E45" s="9">
        <v>68.75</v>
      </c>
      <c r="F45" s="7">
        <v>43.2</v>
      </c>
      <c r="G45" s="7">
        <v>128.30000000000001</v>
      </c>
      <c r="H45" s="7">
        <v>126.2</v>
      </c>
      <c r="I45" s="7">
        <v>125.6</v>
      </c>
      <c r="J45" s="7">
        <v>72.5</v>
      </c>
      <c r="L45" t="s">
        <v>8</v>
      </c>
      <c r="M45">
        <v>0.92835257813403504</v>
      </c>
      <c r="N45">
        <v>0.10344301632880799</v>
      </c>
      <c r="O45">
        <v>8.9745312064676597</v>
      </c>
      <c r="P45" s="91">
        <v>1.3765501452696E-11</v>
      </c>
      <c r="Q45">
        <v>0.72000765145040102</v>
      </c>
      <c r="R45">
        <v>1.13669750481766</v>
      </c>
      <c r="S45">
        <v>0.72000765145040102</v>
      </c>
      <c r="T45">
        <v>1.13669750481766</v>
      </c>
      <c r="W45" t="s">
        <v>8</v>
      </c>
      <c r="X45">
        <v>0.95489106943537605</v>
      </c>
      <c r="Y45">
        <v>0.131485914298728</v>
      </c>
      <c r="Z45">
        <v>7.2623069514953098</v>
      </c>
      <c r="AA45" s="91">
        <v>4.1673529691705702E-9</v>
      </c>
      <c r="AB45">
        <v>0.69006484774611099</v>
      </c>
      <c r="AC45">
        <v>1.2197172911246399</v>
      </c>
      <c r="AD45">
        <v>0.69006484774611099</v>
      </c>
      <c r="AE45">
        <v>1.2197172911246399</v>
      </c>
    </row>
    <row r="46" spans="1:31" x14ac:dyDescent="0.15">
      <c r="A46" s="6">
        <v>42</v>
      </c>
      <c r="B46" s="7">
        <v>31.7</v>
      </c>
      <c r="C46" s="8">
        <v>44</v>
      </c>
      <c r="D46" s="9">
        <v>205</v>
      </c>
      <c r="E46" s="9">
        <v>29.5</v>
      </c>
      <c r="F46" s="7">
        <v>36.6</v>
      </c>
      <c r="G46" s="7">
        <v>106</v>
      </c>
      <c r="H46" s="7">
        <v>104.3</v>
      </c>
      <c r="I46" s="7">
        <v>115.5</v>
      </c>
      <c r="J46" s="7">
        <v>70.599999999999994</v>
      </c>
      <c r="L46" t="s">
        <v>4</v>
      </c>
      <c r="M46">
        <v>-0.25931054158488398</v>
      </c>
      <c r="N46">
        <v>5.3339313622581701E-2</v>
      </c>
      <c r="O46">
        <v>-4.8615275295762803</v>
      </c>
      <c r="P46" s="91">
        <v>1.45664835706191E-5</v>
      </c>
      <c r="Q46">
        <v>-0.36674143233470502</v>
      </c>
      <c r="R46">
        <v>-0.151879650835063</v>
      </c>
      <c r="S46">
        <v>-0.36674143233470502</v>
      </c>
      <c r="T46">
        <v>-0.151879650835063</v>
      </c>
      <c r="W46" t="s">
        <v>4</v>
      </c>
      <c r="X46">
        <v>-0.27604980605241197</v>
      </c>
      <c r="Y46">
        <v>5.0241510936491603E-2</v>
      </c>
      <c r="Z46">
        <v>-5.4944566934174501</v>
      </c>
      <c r="AA46" s="91">
        <v>1.74588948763903E-6</v>
      </c>
      <c r="AB46">
        <v>-0.37724140200574102</v>
      </c>
      <c r="AC46">
        <v>-0.174858210099084</v>
      </c>
      <c r="AD46">
        <v>-0.37724140200574102</v>
      </c>
      <c r="AE46">
        <v>-0.174858210099084</v>
      </c>
    </row>
    <row r="47" spans="1:31" x14ac:dyDescent="0.15">
      <c r="A47" s="6">
        <v>43</v>
      </c>
      <c r="B47" s="7">
        <v>30.4</v>
      </c>
      <c r="C47" s="8">
        <v>48</v>
      </c>
      <c r="D47" s="9">
        <v>217</v>
      </c>
      <c r="E47" s="9">
        <v>70</v>
      </c>
      <c r="F47" s="7">
        <v>37.299999999999997</v>
      </c>
      <c r="G47" s="7">
        <v>113.3</v>
      </c>
      <c r="H47" s="7">
        <v>111.2</v>
      </c>
      <c r="I47" s="7">
        <v>114.1</v>
      </c>
      <c r="J47" s="7">
        <v>67.7</v>
      </c>
      <c r="L47" t="s">
        <v>10</v>
      </c>
      <c r="M47">
        <v>0.59140909750984605</v>
      </c>
      <c r="N47">
        <v>0.26167346181474799</v>
      </c>
      <c r="O47">
        <v>2.2601034640973001</v>
      </c>
      <c r="P47">
        <v>2.8701934185251899E-2</v>
      </c>
      <c r="Q47">
        <v>6.4371699029970406E-2</v>
      </c>
      <c r="R47">
        <v>1.11844649598972</v>
      </c>
      <c r="S47">
        <v>6.4371699029970406E-2</v>
      </c>
      <c r="T47">
        <v>1.11844649598972</v>
      </c>
      <c r="W47" t="s">
        <v>10</v>
      </c>
      <c r="X47">
        <v>0.64919013743868703</v>
      </c>
      <c r="Y47">
        <v>0.250289390089318</v>
      </c>
      <c r="Z47">
        <v>2.5937581181807801</v>
      </c>
      <c r="AA47">
        <v>1.27654794112293E-2</v>
      </c>
      <c r="AB47">
        <v>0.14508143606347401</v>
      </c>
      <c r="AC47">
        <v>1.1532988388138901</v>
      </c>
      <c r="AD47">
        <v>0.14508143606347401</v>
      </c>
      <c r="AE47">
        <v>1.1532988388138901</v>
      </c>
    </row>
    <row r="48" spans="1:31" x14ac:dyDescent="0.15">
      <c r="A48" s="6">
        <v>44</v>
      </c>
      <c r="B48" s="7">
        <v>30.8</v>
      </c>
      <c r="C48" s="8">
        <v>41</v>
      </c>
      <c r="D48" s="9">
        <v>212</v>
      </c>
      <c r="E48" s="9">
        <v>71.5</v>
      </c>
      <c r="F48" s="7">
        <v>41.5</v>
      </c>
      <c r="G48" s="7">
        <v>106.6</v>
      </c>
      <c r="H48" s="7">
        <v>104.3</v>
      </c>
      <c r="I48" s="7">
        <v>106</v>
      </c>
      <c r="J48" s="7">
        <v>65</v>
      </c>
      <c r="L48" s="119" t="s">
        <v>5</v>
      </c>
      <c r="M48" s="118">
        <v>-6.7797606488461698E-2</v>
      </c>
      <c r="N48" s="118">
        <v>0.102214056106617</v>
      </c>
      <c r="O48" s="118">
        <v>-0.66329044234135104</v>
      </c>
      <c r="P48" s="118">
        <v>0.51052830760322199</v>
      </c>
      <c r="Q48" s="118">
        <v>-0.27366728026013798</v>
      </c>
      <c r="R48" s="118">
        <v>0.138072067283214</v>
      </c>
      <c r="S48" s="118">
        <v>-0.27366728026013798</v>
      </c>
      <c r="T48" s="118">
        <v>0.138072067283214</v>
      </c>
      <c r="W48" s="119" t="s">
        <v>7</v>
      </c>
      <c r="X48" s="118">
        <v>-9.1644573648750303E-3</v>
      </c>
      <c r="Y48" s="118">
        <v>0.17260567132586099</v>
      </c>
      <c r="Z48" s="118">
        <v>-5.3094763888571601E-2</v>
      </c>
      <c r="AA48" s="118">
        <v>0.95789140995182798</v>
      </c>
      <c r="AB48" s="118">
        <v>-0.35681011981595101</v>
      </c>
      <c r="AC48" s="118">
        <v>0.338481205086201</v>
      </c>
      <c r="AD48" s="118">
        <v>-0.35681011981595101</v>
      </c>
      <c r="AE48" s="118">
        <v>0.338481205086201</v>
      </c>
    </row>
    <row r="49" spans="1:10" x14ac:dyDescent="0.15">
      <c r="A49" s="6">
        <v>45</v>
      </c>
      <c r="B49" s="7">
        <v>8.4</v>
      </c>
      <c r="C49" s="8">
        <v>39</v>
      </c>
      <c r="D49" s="9">
        <v>125.25</v>
      </c>
      <c r="E49" s="9">
        <v>68</v>
      </c>
      <c r="F49" s="7">
        <v>31.5</v>
      </c>
      <c r="G49" s="7">
        <v>85.1</v>
      </c>
      <c r="H49" s="7">
        <v>76</v>
      </c>
      <c r="I49" s="7">
        <v>88.2</v>
      </c>
      <c r="J49" s="7">
        <v>50</v>
      </c>
    </row>
    <row r="50" spans="1:10" x14ac:dyDescent="0.15">
      <c r="A50" s="6">
        <v>46</v>
      </c>
      <c r="B50" s="7">
        <v>14.1</v>
      </c>
      <c r="C50" s="8">
        <v>43</v>
      </c>
      <c r="D50" s="9">
        <v>164.25</v>
      </c>
      <c r="E50" s="9">
        <v>73.25</v>
      </c>
      <c r="F50" s="7">
        <v>35.700000000000003</v>
      </c>
      <c r="G50" s="7">
        <v>96.6</v>
      </c>
      <c r="H50" s="7">
        <v>81.5</v>
      </c>
      <c r="I50" s="7">
        <v>97.2</v>
      </c>
      <c r="J50" s="7">
        <v>58.4</v>
      </c>
    </row>
    <row r="51" spans="1:10" x14ac:dyDescent="0.15">
      <c r="A51" s="6">
        <v>47</v>
      </c>
      <c r="B51" s="7">
        <v>11.2</v>
      </c>
      <c r="C51" s="8">
        <v>40</v>
      </c>
      <c r="D51" s="9">
        <v>133.5</v>
      </c>
      <c r="E51" s="9">
        <v>67.5</v>
      </c>
      <c r="F51" s="7">
        <v>33.6</v>
      </c>
      <c r="G51" s="7">
        <v>88.2</v>
      </c>
      <c r="H51" s="7">
        <v>73.7</v>
      </c>
      <c r="I51" s="7">
        <v>88.5</v>
      </c>
      <c r="J51" s="7">
        <v>53.3</v>
      </c>
    </row>
    <row r="52" spans="1:10" x14ac:dyDescent="0.15">
      <c r="A52" s="6">
        <v>48</v>
      </c>
      <c r="B52" s="7">
        <v>6.4</v>
      </c>
      <c r="C52" s="8">
        <v>39</v>
      </c>
      <c r="D52" s="9">
        <v>148.5</v>
      </c>
      <c r="E52" s="9">
        <v>71.25</v>
      </c>
      <c r="F52" s="7">
        <v>34.6</v>
      </c>
      <c r="G52" s="7">
        <v>89.8</v>
      </c>
      <c r="H52" s="7">
        <v>79.5</v>
      </c>
      <c r="I52" s="7">
        <v>92.7</v>
      </c>
      <c r="J52" s="7">
        <v>52.7</v>
      </c>
    </row>
    <row r="53" spans="1:10" x14ac:dyDescent="0.15">
      <c r="A53" s="6">
        <v>49</v>
      </c>
      <c r="B53" s="7">
        <v>13.4</v>
      </c>
      <c r="C53" s="8">
        <v>45</v>
      </c>
      <c r="D53" s="9">
        <v>135.75</v>
      </c>
      <c r="E53" s="9">
        <v>68.5</v>
      </c>
      <c r="F53" s="7">
        <v>32.799999999999997</v>
      </c>
      <c r="G53" s="7">
        <v>92.3</v>
      </c>
      <c r="H53" s="7">
        <v>83.4</v>
      </c>
      <c r="I53" s="7">
        <v>90.4</v>
      </c>
      <c r="J53" s="7">
        <v>52</v>
      </c>
    </row>
    <row r="54" spans="1:10" x14ac:dyDescent="0.15">
      <c r="A54" s="11">
        <v>50</v>
      </c>
      <c r="B54" s="12">
        <v>5</v>
      </c>
      <c r="C54" s="134">
        <v>47</v>
      </c>
      <c r="D54" s="133">
        <v>127.5</v>
      </c>
      <c r="E54" s="133">
        <v>66.75</v>
      </c>
      <c r="F54" s="12">
        <v>34</v>
      </c>
      <c r="G54" s="12">
        <v>83.4</v>
      </c>
      <c r="H54" s="12">
        <v>70.400000000000006</v>
      </c>
      <c r="I54" s="12">
        <v>87.2</v>
      </c>
      <c r="J54" s="12">
        <v>50.6</v>
      </c>
    </row>
    <row r="57" spans="1:10" x14ac:dyDescent="0.15">
      <c r="G57" s="18" t="s">
        <v>8</v>
      </c>
      <c r="H57" s="18" t="s">
        <v>4</v>
      </c>
      <c r="I57" s="18" t="s">
        <v>10</v>
      </c>
      <c r="J57" s="18" t="s">
        <v>9</v>
      </c>
    </row>
    <row r="58" spans="1:10" x14ac:dyDescent="0.15">
      <c r="G58" s="2">
        <v>85.2</v>
      </c>
      <c r="H58" s="4">
        <v>154.25</v>
      </c>
      <c r="I58" s="2">
        <v>59</v>
      </c>
      <c r="J58" s="2">
        <v>94.5</v>
      </c>
    </row>
    <row r="59" spans="1:10" x14ac:dyDescent="0.15">
      <c r="G59" s="7">
        <v>83</v>
      </c>
      <c r="H59" s="9">
        <v>173.25</v>
      </c>
      <c r="I59" s="7">
        <v>58.7</v>
      </c>
      <c r="J59" s="7">
        <v>98.7</v>
      </c>
    </row>
    <row r="60" spans="1:10" x14ac:dyDescent="0.15">
      <c r="G60" s="7">
        <v>87.9</v>
      </c>
      <c r="H60" s="9">
        <v>154</v>
      </c>
      <c r="I60" s="7">
        <v>59.6</v>
      </c>
      <c r="J60" s="7">
        <v>99.2</v>
      </c>
    </row>
    <row r="61" spans="1:10" x14ac:dyDescent="0.15">
      <c r="G61" s="7">
        <v>86.4</v>
      </c>
      <c r="H61" s="9">
        <v>184.75</v>
      </c>
      <c r="I61" s="7">
        <v>60.1</v>
      </c>
      <c r="J61" s="7">
        <v>101.2</v>
      </c>
    </row>
    <row r="62" spans="1:10" x14ac:dyDescent="0.15">
      <c r="G62" s="7">
        <v>100</v>
      </c>
      <c r="H62" s="9">
        <v>184.25</v>
      </c>
      <c r="I62" s="7">
        <v>63.2</v>
      </c>
      <c r="J62" s="7">
        <v>101.9</v>
      </c>
    </row>
    <row r="63" spans="1:10" x14ac:dyDescent="0.15">
      <c r="G63" s="7">
        <v>94.4</v>
      </c>
      <c r="H63" s="9">
        <v>210.25</v>
      </c>
      <c r="I63" s="7">
        <v>66</v>
      </c>
      <c r="J63" s="7">
        <v>107.8</v>
      </c>
    </row>
    <row r="64" spans="1:10" x14ac:dyDescent="0.15">
      <c r="G64" s="7">
        <v>90.7</v>
      </c>
      <c r="H64" s="9">
        <v>181</v>
      </c>
      <c r="I64" s="7">
        <v>58.4</v>
      </c>
      <c r="J64" s="7">
        <v>100.3</v>
      </c>
    </row>
    <row r="65" spans="7:10" x14ac:dyDescent="0.15">
      <c r="G65" s="7">
        <v>88.5</v>
      </c>
      <c r="H65" s="9">
        <v>176</v>
      </c>
      <c r="I65" s="7">
        <v>60</v>
      </c>
      <c r="J65" s="7">
        <v>97.1</v>
      </c>
    </row>
    <row r="66" spans="7:10" x14ac:dyDescent="0.15">
      <c r="G66" s="7">
        <v>82.5</v>
      </c>
      <c r="H66" s="9">
        <v>191</v>
      </c>
      <c r="I66" s="7">
        <v>62.9</v>
      </c>
      <c r="J66" s="7">
        <v>99.9</v>
      </c>
    </row>
    <row r="67" spans="7:10" x14ac:dyDescent="0.15">
      <c r="G67" s="7">
        <v>88.6</v>
      </c>
      <c r="H67" s="9">
        <v>198.25</v>
      </c>
      <c r="I67" s="7">
        <v>63.1</v>
      </c>
      <c r="J67" s="7">
        <v>104.1</v>
      </c>
    </row>
    <row r="68" spans="7:10" x14ac:dyDescent="0.15">
      <c r="G68" s="7">
        <v>83.6</v>
      </c>
      <c r="H68" s="9">
        <v>186.25</v>
      </c>
      <c r="I68" s="7">
        <v>59.7</v>
      </c>
      <c r="J68" s="7">
        <v>98.2</v>
      </c>
    </row>
    <row r="69" spans="7:10" x14ac:dyDescent="0.15">
      <c r="G69" s="7">
        <v>90.9</v>
      </c>
      <c r="H69" s="9">
        <v>216</v>
      </c>
      <c r="I69" s="7">
        <v>66.2</v>
      </c>
      <c r="J69" s="7">
        <v>107.7</v>
      </c>
    </row>
    <row r="70" spans="7:10" x14ac:dyDescent="0.15">
      <c r="G70" s="7">
        <v>91.6</v>
      </c>
      <c r="H70" s="9">
        <v>180.5</v>
      </c>
      <c r="I70" s="7">
        <v>63.4</v>
      </c>
      <c r="J70" s="7">
        <v>103.9</v>
      </c>
    </row>
    <row r="71" spans="7:10" x14ac:dyDescent="0.15">
      <c r="G71" s="7">
        <v>101.8</v>
      </c>
      <c r="H71" s="9">
        <v>205.25</v>
      </c>
      <c r="I71" s="7">
        <v>66</v>
      </c>
      <c r="J71" s="7">
        <v>108.6</v>
      </c>
    </row>
    <row r="72" spans="7:10" x14ac:dyDescent="0.15">
      <c r="G72" s="7">
        <v>96.4</v>
      </c>
      <c r="H72" s="9">
        <v>187.75</v>
      </c>
      <c r="I72" s="7">
        <v>69</v>
      </c>
      <c r="J72" s="7">
        <v>100.1</v>
      </c>
    </row>
    <row r="73" spans="7:10" x14ac:dyDescent="0.15">
      <c r="G73" s="7">
        <v>92.8</v>
      </c>
      <c r="H73" s="9">
        <v>162.75</v>
      </c>
      <c r="I73" s="7">
        <v>63.1</v>
      </c>
      <c r="J73" s="7">
        <v>99.2</v>
      </c>
    </row>
    <row r="74" spans="7:10" x14ac:dyDescent="0.15">
      <c r="G74" s="7">
        <v>96.4</v>
      </c>
      <c r="H74" s="9">
        <v>195.75</v>
      </c>
      <c r="I74" s="7">
        <v>64.8</v>
      </c>
      <c r="J74" s="7">
        <v>105.2</v>
      </c>
    </row>
    <row r="75" spans="7:10" x14ac:dyDescent="0.15">
      <c r="G75" s="7">
        <v>97.5</v>
      </c>
      <c r="H75" s="9">
        <v>209.25</v>
      </c>
      <c r="I75" s="7">
        <v>66.900000000000006</v>
      </c>
      <c r="J75" s="7">
        <v>107</v>
      </c>
    </row>
    <row r="76" spans="7:10" x14ac:dyDescent="0.15">
      <c r="G76" s="7">
        <v>89.6</v>
      </c>
      <c r="H76" s="9">
        <v>183.75</v>
      </c>
      <c r="I76" s="7">
        <v>64.2</v>
      </c>
      <c r="J76" s="7">
        <v>102.4</v>
      </c>
    </row>
    <row r="77" spans="7:10" x14ac:dyDescent="0.15">
      <c r="G77" s="7">
        <v>100.5</v>
      </c>
      <c r="H77" s="9">
        <v>211.75</v>
      </c>
      <c r="I77" s="7">
        <v>65.8</v>
      </c>
      <c r="J77" s="7">
        <v>109</v>
      </c>
    </row>
    <row r="78" spans="7:10" x14ac:dyDescent="0.15">
      <c r="G78" s="7">
        <v>95.9</v>
      </c>
      <c r="H78" s="9">
        <v>179</v>
      </c>
      <c r="I78" s="7">
        <v>63.5</v>
      </c>
      <c r="J78" s="7">
        <v>104.9</v>
      </c>
    </row>
    <row r="79" spans="7:10" x14ac:dyDescent="0.15">
      <c r="G79" s="7">
        <v>98.8</v>
      </c>
      <c r="H79" s="9">
        <v>200.5</v>
      </c>
      <c r="I79" s="7">
        <v>63.4</v>
      </c>
      <c r="J79" s="7">
        <v>104.8</v>
      </c>
    </row>
    <row r="80" spans="7:10" x14ac:dyDescent="0.15">
      <c r="G80" s="7">
        <v>76.400000000000006</v>
      </c>
      <c r="H80" s="9">
        <v>140.25</v>
      </c>
      <c r="I80" s="7">
        <v>57.4</v>
      </c>
      <c r="J80" s="7">
        <v>94.6</v>
      </c>
    </row>
    <row r="81" spans="7:10" x14ac:dyDescent="0.15">
      <c r="G81" s="7">
        <v>80</v>
      </c>
      <c r="H81" s="9">
        <v>148.75</v>
      </c>
      <c r="I81" s="7">
        <v>54.9</v>
      </c>
      <c r="J81" s="7">
        <v>93.4</v>
      </c>
    </row>
    <row r="82" spans="7:10" x14ac:dyDescent="0.15">
      <c r="G82" s="7">
        <v>76.3</v>
      </c>
      <c r="H82" s="9">
        <v>151.25</v>
      </c>
      <c r="I82" s="7">
        <v>58.4</v>
      </c>
      <c r="J82" s="7">
        <v>95.8</v>
      </c>
    </row>
    <row r="83" spans="7:10" x14ac:dyDescent="0.15">
      <c r="G83" s="7">
        <v>79.7</v>
      </c>
      <c r="H83" s="9">
        <v>159.25</v>
      </c>
      <c r="I83" s="7">
        <v>55</v>
      </c>
      <c r="J83" s="7">
        <v>96.5</v>
      </c>
    </row>
    <row r="84" spans="7:10" x14ac:dyDescent="0.15">
      <c r="G84" s="7">
        <v>74.599999999999994</v>
      </c>
      <c r="H84" s="9">
        <v>131.5</v>
      </c>
      <c r="I84" s="7">
        <v>51.7</v>
      </c>
      <c r="J84" s="7">
        <v>85.3</v>
      </c>
    </row>
    <row r="85" spans="7:10" x14ac:dyDescent="0.15">
      <c r="G85" s="7">
        <v>88.7</v>
      </c>
      <c r="H85" s="9">
        <v>148</v>
      </c>
      <c r="I85" s="7">
        <v>57.5</v>
      </c>
      <c r="J85" s="7">
        <v>94.7</v>
      </c>
    </row>
    <row r="86" spans="7:10" x14ac:dyDescent="0.15">
      <c r="G86" s="7">
        <v>73.900000000000006</v>
      </c>
      <c r="H86" s="9">
        <v>133.25</v>
      </c>
      <c r="I86" s="7">
        <v>50.1</v>
      </c>
      <c r="J86" s="7">
        <v>88.5</v>
      </c>
    </row>
    <row r="87" spans="7:10" x14ac:dyDescent="0.15">
      <c r="G87" s="7">
        <v>83.5</v>
      </c>
      <c r="H87" s="9">
        <v>160.75</v>
      </c>
      <c r="I87" s="7">
        <v>58.9</v>
      </c>
      <c r="J87" s="7">
        <v>98.7</v>
      </c>
    </row>
    <row r="88" spans="7:10" x14ac:dyDescent="0.15">
      <c r="G88" s="7">
        <v>88.7</v>
      </c>
      <c r="H88" s="9">
        <v>182</v>
      </c>
      <c r="I88" s="7">
        <v>57.5</v>
      </c>
      <c r="J88" s="7">
        <v>99.8</v>
      </c>
    </row>
    <row r="89" spans="7:10" x14ac:dyDescent="0.15">
      <c r="G89" s="7">
        <v>84.5</v>
      </c>
      <c r="H89" s="9">
        <v>160.25</v>
      </c>
      <c r="I89" s="7">
        <v>58.5</v>
      </c>
      <c r="J89" s="7">
        <v>100.6</v>
      </c>
    </row>
    <row r="90" spans="7:10" x14ac:dyDescent="0.15">
      <c r="G90" s="7">
        <v>79.099999999999994</v>
      </c>
      <c r="H90" s="9">
        <v>168</v>
      </c>
      <c r="I90" s="7">
        <v>57.3</v>
      </c>
      <c r="J90" s="7">
        <v>94.5</v>
      </c>
    </row>
    <row r="91" spans="7:10" x14ac:dyDescent="0.15">
      <c r="G91" s="7">
        <v>100.5</v>
      </c>
      <c r="H91" s="9">
        <v>218.5</v>
      </c>
      <c r="I91" s="7">
        <v>67.099999999999994</v>
      </c>
      <c r="J91" s="7">
        <v>108.3</v>
      </c>
    </row>
    <row r="92" spans="7:10" x14ac:dyDescent="0.15">
      <c r="G92" s="7">
        <v>115.6</v>
      </c>
      <c r="H92" s="9">
        <v>247.25</v>
      </c>
      <c r="I92" s="7">
        <v>71.2</v>
      </c>
      <c r="J92" s="7">
        <v>116.1</v>
      </c>
    </row>
    <row r="93" spans="7:10" x14ac:dyDescent="0.15">
      <c r="G93" s="7">
        <v>113.1</v>
      </c>
      <c r="H93" s="9">
        <v>191.75</v>
      </c>
      <c r="I93" s="7">
        <v>61.9</v>
      </c>
      <c r="J93" s="7">
        <v>113.8</v>
      </c>
    </row>
    <row r="94" spans="7:10" x14ac:dyDescent="0.15">
      <c r="G94" s="7">
        <v>100.9</v>
      </c>
      <c r="H94" s="9">
        <v>202.25</v>
      </c>
      <c r="I94" s="7">
        <v>63.5</v>
      </c>
      <c r="J94" s="7">
        <v>106.2</v>
      </c>
    </row>
    <row r="95" spans="7:10" x14ac:dyDescent="0.15">
      <c r="G95" s="7">
        <v>98.8</v>
      </c>
      <c r="H95" s="9">
        <v>196.75</v>
      </c>
      <c r="I95" s="7">
        <v>66</v>
      </c>
      <c r="J95" s="7">
        <v>104.8</v>
      </c>
    </row>
    <row r="96" spans="7:10" x14ac:dyDescent="0.15">
      <c r="G96" s="7">
        <v>148.1</v>
      </c>
      <c r="H96" s="9">
        <v>363.15</v>
      </c>
      <c r="I96" s="7">
        <v>87.3</v>
      </c>
      <c r="J96" s="7">
        <v>147.69999999999999</v>
      </c>
    </row>
    <row r="97" spans="7:10" x14ac:dyDescent="0.15">
      <c r="G97" s="7">
        <v>108.1</v>
      </c>
      <c r="H97" s="9">
        <v>203</v>
      </c>
      <c r="I97" s="7">
        <v>61.3</v>
      </c>
      <c r="J97" s="7">
        <v>102.5</v>
      </c>
    </row>
    <row r="98" spans="7:10" x14ac:dyDescent="0.15">
      <c r="G98" s="7">
        <v>126.2</v>
      </c>
      <c r="H98" s="9">
        <v>262.75</v>
      </c>
      <c r="I98" s="7">
        <v>72.5</v>
      </c>
      <c r="J98" s="7">
        <v>125.6</v>
      </c>
    </row>
    <row r="99" spans="7:10" x14ac:dyDescent="0.15">
      <c r="G99" s="7">
        <v>104.3</v>
      </c>
      <c r="H99" s="9">
        <v>205</v>
      </c>
      <c r="I99" s="7">
        <v>70.599999999999994</v>
      </c>
      <c r="J99" s="7">
        <v>115.5</v>
      </c>
    </row>
    <row r="100" spans="7:10" x14ac:dyDescent="0.15">
      <c r="G100" s="7">
        <v>111.2</v>
      </c>
      <c r="H100" s="9">
        <v>217</v>
      </c>
      <c r="I100" s="7">
        <v>67.7</v>
      </c>
      <c r="J100" s="7">
        <v>114.1</v>
      </c>
    </row>
    <row r="101" spans="7:10" x14ac:dyDescent="0.15">
      <c r="G101" s="7">
        <v>104.3</v>
      </c>
      <c r="H101" s="9">
        <v>212</v>
      </c>
      <c r="I101" s="7">
        <v>65</v>
      </c>
      <c r="J101" s="7">
        <v>106</v>
      </c>
    </row>
    <row r="102" spans="7:10" x14ac:dyDescent="0.15">
      <c r="G102" s="7">
        <v>76</v>
      </c>
      <c r="H102" s="9">
        <v>125.25</v>
      </c>
      <c r="I102" s="7">
        <v>50</v>
      </c>
      <c r="J102" s="7">
        <v>88.2</v>
      </c>
    </row>
    <row r="103" spans="7:10" x14ac:dyDescent="0.15">
      <c r="G103" s="7">
        <v>81.5</v>
      </c>
      <c r="H103" s="9">
        <v>164.25</v>
      </c>
      <c r="I103" s="7">
        <v>58.4</v>
      </c>
      <c r="J103" s="7">
        <v>97.2</v>
      </c>
    </row>
    <row r="104" spans="7:10" x14ac:dyDescent="0.15">
      <c r="G104" s="7">
        <v>73.7</v>
      </c>
      <c r="H104" s="9">
        <v>133.5</v>
      </c>
      <c r="I104" s="7">
        <v>53.3</v>
      </c>
      <c r="J104" s="7">
        <v>88.5</v>
      </c>
    </row>
    <row r="105" spans="7:10" x14ac:dyDescent="0.15">
      <c r="G105" s="7">
        <v>79.5</v>
      </c>
      <c r="H105" s="9">
        <v>148.5</v>
      </c>
      <c r="I105" s="7">
        <v>52.7</v>
      </c>
      <c r="J105" s="7">
        <v>92.7</v>
      </c>
    </row>
    <row r="106" spans="7:10" x14ac:dyDescent="0.15">
      <c r="G106" s="7">
        <v>83.4</v>
      </c>
      <c r="H106" s="9">
        <v>135.75</v>
      </c>
      <c r="I106" s="7">
        <v>52</v>
      </c>
      <c r="J106" s="7">
        <v>90.4</v>
      </c>
    </row>
    <row r="107" spans="7:10" x14ac:dyDescent="0.15">
      <c r="G107" s="12">
        <v>70.400000000000006</v>
      </c>
      <c r="H107" s="133">
        <v>127.5</v>
      </c>
      <c r="I107" s="12">
        <v>50.6</v>
      </c>
      <c r="J107" s="12">
        <v>87.2</v>
      </c>
    </row>
  </sheetData>
  <mergeCells count="5">
    <mergeCell ref="L6:M6"/>
    <mergeCell ref="L30:M30"/>
    <mergeCell ref="W6:X6"/>
    <mergeCell ref="W30:X30"/>
    <mergeCell ref="AH6:AI6"/>
  </mergeCells>
  <conditionalFormatting sqref="P21:P24">
    <cfRule type="cellIs" dxfId="19" priority="34" operator="lessThan">
      <formula>0.05</formula>
    </cfRule>
    <cfRule type="cellIs" dxfId="18" priority="37" operator="greaterThan">
      <formula>0.05</formula>
    </cfRule>
  </conditionalFormatting>
  <conditionalFormatting sqref="P45:P48">
    <cfRule type="cellIs" dxfId="17" priority="14" operator="lessThan">
      <formula>0.05</formula>
    </cfRule>
    <cfRule type="cellIs" dxfId="16" priority="16" operator="greaterThan">
      <formula>0.05</formula>
    </cfRule>
  </conditionalFormatting>
  <conditionalFormatting sqref="Q15">
    <cfRule type="cellIs" dxfId="15" priority="33" operator="lessThan">
      <formula>0.05</formula>
    </cfRule>
    <cfRule type="cellIs" dxfId="14" priority="36" operator="greaterThan">
      <formula>0.05</formula>
    </cfRule>
  </conditionalFormatting>
  <conditionalFormatting sqref="Q39">
    <cfRule type="cellIs" dxfId="13" priority="13" operator="lessThan">
      <formula>0.05</formula>
    </cfRule>
    <cfRule type="cellIs" dxfId="12" priority="15" operator="greaterThan">
      <formula>0.05</formula>
    </cfRule>
  </conditionalFormatting>
  <conditionalFormatting sqref="AA21:AA24">
    <cfRule type="cellIs" dxfId="11" priority="10" operator="lessThan">
      <formula>0.05</formula>
    </cfRule>
    <cfRule type="cellIs" dxfId="10" priority="12" operator="greaterThan">
      <formula>0.05</formula>
    </cfRule>
  </conditionalFormatting>
  <conditionalFormatting sqref="AA45:AA48">
    <cfRule type="cellIs" dxfId="9" priority="6" operator="lessThan">
      <formula>0.05</formula>
    </cfRule>
    <cfRule type="cellIs" dxfId="8" priority="8" operator="greaterThan">
      <formula>0.05</formula>
    </cfRule>
  </conditionalFormatting>
  <conditionalFormatting sqref="AB15">
    <cfRule type="cellIs" dxfId="7" priority="9" operator="lessThan">
      <formula>0.05</formula>
    </cfRule>
    <cfRule type="cellIs" dxfId="6" priority="11" operator="greaterThan">
      <formula>0.05</formula>
    </cfRule>
  </conditionalFormatting>
  <conditionalFormatting sqref="AB39">
    <cfRule type="cellIs" dxfId="5" priority="5" operator="lessThan">
      <formula>0.05</formula>
    </cfRule>
    <cfRule type="cellIs" dxfId="4" priority="7" operator="greaterThan">
      <formula>0.05</formula>
    </cfRule>
  </conditionalFormatting>
  <conditionalFormatting sqref="AL21:AL24">
    <cfRule type="cellIs" dxfId="3" priority="2" operator="lessThan">
      <formula>0.05</formula>
    </cfRule>
    <cfRule type="cellIs" dxfId="2" priority="4" operator="greaterThan">
      <formula>0.05</formula>
    </cfRule>
  </conditionalFormatting>
  <conditionalFormatting sqref="AM15">
    <cfRule type="cellIs" dxfId="1" priority="1" operator="lessThan">
      <formula>0.05</formula>
    </cfRule>
    <cfRule type="cellIs" dxfId="0" priority="3" operator="greaterThan">
      <formula>0.05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4724-D17C-427F-9F74-9F7576AA2C55}">
  <dimension ref="A2:T76"/>
  <sheetViews>
    <sheetView topLeftCell="K11" zoomScale="95" workbookViewId="0">
      <selection activeCell="L25" sqref="L25"/>
    </sheetView>
  </sheetViews>
  <sheetFormatPr baseColWidth="10" defaultColWidth="8.83203125" defaultRowHeight="13" x14ac:dyDescent="0.15"/>
  <cols>
    <col min="1" max="1" width="7.5" bestFit="1" customWidth="1"/>
    <col min="2" max="2" width="11.6640625" bestFit="1" customWidth="1"/>
    <col min="3" max="3" width="14.83203125" bestFit="1" customWidth="1"/>
    <col min="4" max="4" width="8.83203125" bestFit="1" customWidth="1"/>
    <col min="12" max="12" width="19.1640625" bestFit="1" customWidth="1"/>
    <col min="13" max="13" width="17.6640625" customWidth="1"/>
    <col min="14" max="14" width="24.83203125" customWidth="1"/>
    <col min="15" max="15" width="14.83203125" customWidth="1"/>
    <col min="16" max="16" width="23.6640625" customWidth="1"/>
    <col min="17" max="17" width="18.1640625" customWidth="1"/>
    <col min="18" max="18" width="17.1640625" customWidth="1"/>
    <col min="19" max="19" width="15.1640625" customWidth="1"/>
    <col min="20" max="20" width="14.1640625" customWidth="1"/>
  </cols>
  <sheetData>
    <row r="2" spans="1:17" ht="16" x14ac:dyDescent="0.2">
      <c r="A2" s="16" t="s">
        <v>0</v>
      </c>
    </row>
    <row r="4" spans="1:17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9" t="s">
        <v>10</v>
      </c>
      <c r="L4" t="s">
        <v>12</v>
      </c>
    </row>
    <row r="5" spans="1:17" ht="14" thickBot="1" x14ac:dyDescent="0.2">
      <c r="A5" s="1">
        <v>1</v>
      </c>
      <c r="B5" s="2">
        <v>12.6</v>
      </c>
      <c r="C5" s="3">
        <v>23</v>
      </c>
      <c r="D5" s="4">
        <v>154.25</v>
      </c>
      <c r="E5" s="4">
        <v>67.75</v>
      </c>
      <c r="F5" s="2">
        <v>36.200000000000003</v>
      </c>
      <c r="G5" s="2">
        <v>93.1</v>
      </c>
      <c r="H5" s="2">
        <v>85.2</v>
      </c>
      <c r="I5" s="2">
        <v>94.5</v>
      </c>
      <c r="J5" s="5">
        <v>59</v>
      </c>
    </row>
    <row r="6" spans="1:17" x14ac:dyDescent="0.15">
      <c r="A6" s="6">
        <v>2</v>
      </c>
      <c r="B6" s="7">
        <v>6.9</v>
      </c>
      <c r="C6" s="8">
        <v>22</v>
      </c>
      <c r="D6" s="9">
        <v>173.25</v>
      </c>
      <c r="E6" s="9">
        <v>72.25</v>
      </c>
      <c r="F6" s="7">
        <v>38.5</v>
      </c>
      <c r="G6" s="7">
        <v>93.6</v>
      </c>
      <c r="H6" s="7">
        <v>83</v>
      </c>
      <c r="I6" s="7">
        <v>98.7</v>
      </c>
      <c r="J6" s="10">
        <v>58.7</v>
      </c>
      <c r="L6" s="139" t="s">
        <v>14</v>
      </c>
      <c r="M6" s="139"/>
    </row>
    <row r="7" spans="1:17" x14ac:dyDescent="0.15">
      <c r="A7" s="6">
        <v>3</v>
      </c>
      <c r="B7" s="7">
        <v>24.6</v>
      </c>
      <c r="C7" s="8">
        <v>22</v>
      </c>
      <c r="D7" s="9">
        <v>154</v>
      </c>
      <c r="E7" s="9">
        <v>66.25</v>
      </c>
      <c r="F7" s="7">
        <v>34</v>
      </c>
      <c r="G7" s="7">
        <v>95.8</v>
      </c>
      <c r="H7" s="7">
        <v>87.9</v>
      </c>
      <c r="I7" s="7">
        <v>99.2</v>
      </c>
      <c r="J7" s="10">
        <v>59.6</v>
      </c>
      <c r="L7" t="s">
        <v>15</v>
      </c>
      <c r="M7">
        <v>0.91714633438301008</v>
      </c>
    </row>
    <row r="8" spans="1:17" x14ac:dyDescent="0.15">
      <c r="A8" s="6">
        <v>4</v>
      </c>
      <c r="B8" s="7">
        <v>10.9</v>
      </c>
      <c r="C8" s="8">
        <v>26</v>
      </c>
      <c r="D8" s="9">
        <v>184.75</v>
      </c>
      <c r="E8" s="9">
        <v>72.25</v>
      </c>
      <c r="F8" s="7">
        <v>37.4</v>
      </c>
      <c r="G8" s="7">
        <v>101.8</v>
      </c>
      <c r="H8" s="7">
        <v>86.4</v>
      </c>
      <c r="I8" s="7">
        <v>101.2</v>
      </c>
      <c r="J8" s="10">
        <v>60.1</v>
      </c>
      <c r="L8" t="s">
        <v>16</v>
      </c>
      <c r="M8">
        <v>0.84115739867219208</v>
      </c>
    </row>
    <row r="9" spans="1:17" x14ac:dyDescent="0.15">
      <c r="A9" s="6">
        <v>5</v>
      </c>
      <c r="B9" s="7">
        <v>27.8</v>
      </c>
      <c r="C9" s="8">
        <v>24</v>
      </c>
      <c r="D9" s="9">
        <v>184.25</v>
      </c>
      <c r="E9" s="9">
        <v>71.25</v>
      </c>
      <c r="F9" s="7">
        <v>34.4</v>
      </c>
      <c r="G9" s="7">
        <v>97.3</v>
      </c>
      <c r="H9" s="7">
        <v>100</v>
      </c>
      <c r="I9" s="7">
        <v>101.9</v>
      </c>
      <c r="J9" s="10">
        <v>63.2</v>
      </c>
      <c r="L9" t="s">
        <v>17</v>
      </c>
      <c r="M9" s="116">
        <v>0.81016372036432716</v>
      </c>
    </row>
    <row r="10" spans="1:17" x14ac:dyDescent="0.15">
      <c r="A10" s="6">
        <v>6</v>
      </c>
      <c r="B10" s="7">
        <v>20.6</v>
      </c>
      <c r="C10" s="8">
        <v>24</v>
      </c>
      <c r="D10" s="9">
        <v>210.25</v>
      </c>
      <c r="E10" s="9">
        <v>74.75</v>
      </c>
      <c r="F10" s="7">
        <v>39</v>
      </c>
      <c r="G10" s="7">
        <v>104.5</v>
      </c>
      <c r="H10" s="7">
        <v>94.4</v>
      </c>
      <c r="I10" s="7">
        <v>107.8</v>
      </c>
      <c r="J10" s="10">
        <v>66</v>
      </c>
      <c r="L10" t="s">
        <v>18</v>
      </c>
      <c r="M10">
        <v>3.9567421989992426</v>
      </c>
    </row>
    <row r="11" spans="1:17" ht="14" thickBot="1" x14ac:dyDescent="0.2">
      <c r="A11" s="6">
        <v>7</v>
      </c>
      <c r="B11" s="7">
        <v>19</v>
      </c>
      <c r="C11" s="8">
        <v>26</v>
      </c>
      <c r="D11" s="9">
        <v>181</v>
      </c>
      <c r="E11" s="9">
        <v>69.75</v>
      </c>
      <c r="F11" s="7">
        <v>36.4</v>
      </c>
      <c r="G11" s="7">
        <v>105.1</v>
      </c>
      <c r="H11" s="7">
        <v>90.7</v>
      </c>
      <c r="I11" s="7">
        <v>100.3</v>
      </c>
      <c r="J11" s="10">
        <v>58.4</v>
      </c>
      <c r="L11" s="137" t="s">
        <v>19</v>
      </c>
      <c r="M11" s="137">
        <v>50</v>
      </c>
    </row>
    <row r="12" spans="1:17" x14ac:dyDescent="0.15">
      <c r="A12" s="6">
        <v>8</v>
      </c>
      <c r="B12" s="7">
        <v>12.8</v>
      </c>
      <c r="C12" s="8">
        <v>25</v>
      </c>
      <c r="D12" s="9">
        <v>176</v>
      </c>
      <c r="E12" s="9">
        <v>72.5</v>
      </c>
      <c r="F12" s="7">
        <v>37.799999999999997</v>
      </c>
      <c r="G12" s="7">
        <v>99.6</v>
      </c>
      <c r="H12" s="7">
        <v>88.5</v>
      </c>
      <c r="I12" s="7">
        <v>97.1</v>
      </c>
      <c r="J12" s="10">
        <v>60</v>
      </c>
    </row>
    <row r="13" spans="1:17" ht="14" thickBot="1" x14ac:dyDescent="0.2">
      <c r="A13" s="6">
        <v>9</v>
      </c>
      <c r="B13" s="7">
        <v>5.0999999999999996</v>
      </c>
      <c r="C13" s="8">
        <v>25</v>
      </c>
      <c r="D13" s="9">
        <v>191</v>
      </c>
      <c r="E13" s="9">
        <v>74</v>
      </c>
      <c r="F13" s="7">
        <v>38.1</v>
      </c>
      <c r="G13" s="7">
        <v>100.9</v>
      </c>
      <c r="H13" s="7">
        <v>82.5</v>
      </c>
      <c r="I13" s="7">
        <v>99.9</v>
      </c>
      <c r="J13" s="10">
        <v>62.9</v>
      </c>
      <c r="L13" t="s">
        <v>20</v>
      </c>
    </row>
    <row r="14" spans="1:17" x14ac:dyDescent="0.15">
      <c r="A14" s="6">
        <v>10</v>
      </c>
      <c r="B14" s="7">
        <v>12</v>
      </c>
      <c r="C14" s="8">
        <v>23</v>
      </c>
      <c r="D14" s="9">
        <v>198.25</v>
      </c>
      <c r="E14" s="9">
        <v>73.5</v>
      </c>
      <c r="F14" s="7">
        <v>42.1</v>
      </c>
      <c r="G14" s="7">
        <v>99.6</v>
      </c>
      <c r="H14" s="7">
        <v>88.6</v>
      </c>
      <c r="I14" s="7">
        <v>104.1</v>
      </c>
      <c r="J14" s="10">
        <v>63.1</v>
      </c>
      <c r="L14" s="138"/>
      <c r="M14" s="138" t="s">
        <v>21</v>
      </c>
      <c r="N14" s="138" t="s">
        <v>22</v>
      </c>
      <c r="O14" s="138" t="s">
        <v>23</v>
      </c>
      <c r="P14" s="138" t="s">
        <v>24</v>
      </c>
      <c r="Q14" s="138" t="s">
        <v>25</v>
      </c>
    </row>
    <row r="15" spans="1:17" x14ac:dyDescent="0.15">
      <c r="A15" s="6">
        <v>11</v>
      </c>
      <c r="B15" s="7">
        <v>7.5</v>
      </c>
      <c r="C15" s="8">
        <v>26</v>
      </c>
      <c r="D15" s="9">
        <v>186.25</v>
      </c>
      <c r="E15" s="9">
        <v>74.5</v>
      </c>
      <c r="F15" s="7">
        <v>38.5</v>
      </c>
      <c r="G15" s="7">
        <v>101.5</v>
      </c>
      <c r="H15" s="7">
        <v>83.6</v>
      </c>
      <c r="I15" s="7">
        <v>98.2</v>
      </c>
      <c r="J15" s="10">
        <v>59.7</v>
      </c>
      <c r="L15" t="s">
        <v>26</v>
      </c>
      <c r="M15">
        <v>8</v>
      </c>
      <c r="N15">
        <v>3399.1446379970048</v>
      </c>
      <c r="O15">
        <v>424.8930797496256</v>
      </c>
      <c r="P15">
        <v>27.139644101511475</v>
      </c>
      <c r="Q15">
        <v>4.8247698797862187E-14</v>
      </c>
    </row>
    <row r="16" spans="1:17" x14ac:dyDescent="0.15">
      <c r="A16" s="6">
        <v>12</v>
      </c>
      <c r="B16" s="7">
        <v>8.5</v>
      </c>
      <c r="C16" s="8">
        <v>27</v>
      </c>
      <c r="D16" s="9">
        <v>216</v>
      </c>
      <c r="E16" s="9">
        <v>76</v>
      </c>
      <c r="F16" s="7">
        <v>39.4</v>
      </c>
      <c r="G16" s="7">
        <v>103.6</v>
      </c>
      <c r="H16" s="7">
        <v>90.9</v>
      </c>
      <c r="I16" s="7">
        <v>107.7</v>
      </c>
      <c r="J16" s="10">
        <v>66.2</v>
      </c>
      <c r="L16" t="s">
        <v>27</v>
      </c>
      <c r="M16">
        <v>41</v>
      </c>
      <c r="N16">
        <v>641.88816200299584</v>
      </c>
      <c r="O16">
        <v>15.655808829341362</v>
      </c>
    </row>
    <row r="17" spans="1:20" ht="14" thickBot="1" x14ac:dyDescent="0.2">
      <c r="A17" s="6">
        <v>13</v>
      </c>
      <c r="B17" s="7">
        <v>20.5</v>
      </c>
      <c r="C17" s="8">
        <v>32</v>
      </c>
      <c r="D17" s="9">
        <v>180.5</v>
      </c>
      <c r="E17" s="9">
        <v>69.5</v>
      </c>
      <c r="F17" s="7">
        <v>38.4</v>
      </c>
      <c r="G17" s="7">
        <v>102</v>
      </c>
      <c r="H17" s="7">
        <v>91.6</v>
      </c>
      <c r="I17" s="7">
        <v>103.9</v>
      </c>
      <c r="J17" s="10">
        <v>63.4</v>
      </c>
      <c r="L17" s="137" t="s">
        <v>28</v>
      </c>
      <c r="M17" s="137">
        <v>49</v>
      </c>
      <c r="N17" s="137">
        <v>4041.0328000000009</v>
      </c>
      <c r="O17" s="137"/>
      <c r="P17" s="137"/>
      <c r="Q17" s="137"/>
    </row>
    <row r="18" spans="1:20" ht="14" thickBot="1" x14ac:dyDescent="0.2">
      <c r="A18" s="6">
        <v>14</v>
      </c>
      <c r="B18" s="7">
        <v>20.8</v>
      </c>
      <c r="C18" s="8">
        <v>30</v>
      </c>
      <c r="D18" s="9">
        <v>205.25</v>
      </c>
      <c r="E18" s="9">
        <v>71.25</v>
      </c>
      <c r="F18" s="7">
        <v>39.4</v>
      </c>
      <c r="G18" s="7">
        <v>104.1</v>
      </c>
      <c r="H18" s="7">
        <v>101.8</v>
      </c>
      <c r="I18" s="7">
        <v>108.6</v>
      </c>
      <c r="J18" s="10">
        <v>66</v>
      </c>
    </row>
    <row r="19" spans="1:20" x14ac:dyDescent="0.15">
      <c r="A19" s="6">
        <v>15</v>
      </c>
      <c r="B19" s="7">
        <v>21.7</v>
      </c>
      <c r="C19" s="8">
        <v>35</v>
      </c>
      <c r="D19" s="9">
        <v>187.75</v>
      </c>
      <c r="E19" s="9">
        <v>69.5</v>
      </c>
      <c r="F19" s="7">
        <v>40.5</v>
      </c>
      <c r="G19" s="7">
        <v>101.3</v>
      </c>
      <c r="H19" s="7">
        <v>96.4</v>
      </c>
      <c r="I19" s="7">
        <v>100.1</v>
      </c>
      <c r="J19" s="10">
        <v>69</v>
      </c>
      <c r="L19" s="138"/>
      <c r="M19" s="138" t="s">
        <v>29</v>
      </c>
      <c r="N19" s="138" t="s">
        <v>18</v>
      </c>
      <c r="O19" s="138" t="s">
        <v>30</v>
      </c>
      <c r="P19" s="138" t="s">
        <v>31</v>
      </c>
      <c r="Q19" s="138" t="s">
        <v>32</v>
      </c>
      <c r="R19" s="138" t="s">
        <v>33</v>
      </c>
      <c r="S19" s="138" t="s">
        <v>34</v>
      </c>
      <c r="T19" s="138" t="s">
        <v>35</v>
      </c>
    </row>
    <row r="20" spans="1:20" x14ac:dyDescent="0.15">
      <c r="A20" s="6">
        <v>16</v>
      </c>
      <c r="B20" s="7">
        <v>20.5</v>
      </c>
      <c r="C20" s="8">
        <v>35</v>
      </c>
      <c r="D20" s="9">
        <v>162.75</v>
      </c>
      <c r="E20" s="9">
        <v>66</v>
      </c>
      <c r="F20" s="7">
        <v>36.4</v>
      </c>
      <c r="G20" s="7">
        <v>99.1</v>
      </c>
      <c r="H20" s="7">
        <v>92.8</v>
      </c>
      <c r="I20" s="7">
        <v>99.2</v>
      </c>
      <c r="J20" s="10">
        <v>63.1</v>
      </c>
      <c r="L20" t="s">
        <v>36</v>
      </c>
      <c r="M20">
        <v>-35.430855928860666</v>
      </c>
      <c r="N20">
        <v>24.904025825809327</v>
      </c>
      <c r="O20">
        <v>-1.4226959197954991</v>
      </c>
      <c r="P20">
        <v>0.1623887469716449</v>
      </c>
      <c r="Q20">
        <v>-85.72555641301274</v>
      </c>
      <c r="R20">
        <v>14.863844555291411</v>
      </c>
      <c r="S20">
        <v>-85.72555641301274</v>
      </c>
      <c r="T20">
        <v>14.863844555291411</v>
      </c>
    </row>
    <row r="21" spans="1:20" x14ac:dyDescent="0.15">
      <c r="A21" s="6">
        <v>17</v>
      </c>
      <c r="B21" s="7">
        <v>28.1</v>
      </c>
      <c r="C21" s="8">
        <v>34</v>
      </c>
      <c r="D21" s="9">
        <v>195.75</v>
      </c>
      <c r="E21" s="9">
        <v>71</v>
      </c>
      <c r="F21" s="7">
        <v>38.9</v>
      </c>
      <c r="G21" s="7">
        <v>101.9</v>
      </c>
      <c r="H21" s="7">
        <v>96.4</v>
      </c>
      <c r="I21" s="7">
        <v>105.2</v>
      </c>
      <c r="J21" s="10">
        <v>64.8</v>
      </c>
      <c r="L21" t="s">
        <v>3</v>
      </c>
      <c r="M21">
        <v>9.0499319179400045E-2</v>
      </c>
      <c r="N21">
        <v>8.8013055446963667E-2</v>
      </c>
      <c r="O21">
        <v>1.0282488060414468</v>
      </c>
      <c r="P21">
        <v>0.30986101778200004</v>
      </c>
      <c r="Q21">
        <v>-8.7246652229471658E-2</v>
      </c>
      <c r="R21">
        <v>0.26824529058827173</v>
      </c>
      <c r="S21">
        <v>-8.7246652229471658E-2</v>
      </c>
      <c r="T21">
        <v>0.26824529058827173</v>
      </c>
    </row>
    <row r="22" spans="1:20" x14ac:dyDescent="0.15">
      <c r="A22" s="6">
        <v>18</v>
      </c>
      <c r="B22" s="7">
        <v>22.4</v>
      </c>
      <c r="C22" s="8">
        <v>32</v>
      </c>
      <c r="D22" s="9">
        <v>209.25</v>
      </c>
      <c r="E22" s="9">
        <v>71</v>
      </c>
      <c r="F22" s="7">
        <v>42.1</v>
      </c>
      <c r="G22" s="7">
        <v>107.6</v>
      </c>
      <c r="H22" s="7">
        <v>97.5</v>
      </c>
      <c r="I22" s="7">
        <v>107</v>
      </c>
      <c r="J22" s="10">
        <v>66.900000000000006</v>
      </c>
      <c r="L22" t="s">
        <v>4</v>
      </c>
      <c r="M22">
        <v>-0.19280831940989271</v>
      </c>
      <c r="N22">
        <v>7.8315213880906107E-2</v>
      </c>
      <c r="O22">
        <v>-2.4619522804738323</v>
      </c>
      <c r="P22">
        <v>1.811249458643174E-2</v>
      </c>
      <c r="Q22">
        <v>-0.35096910245126178</v>
      </c>
      <c r="R22">
        <v>-3.4647536368523614E-2</v>
      </c>
      <c r="S22">
        <v>-0.35096910245126178</v>
      </c>
      <c r="T22">
        <v>-3.4647536368523614E-2</v>
      </c>
    </row>
    <row r="23" spans="1:20" x14ac:dyDescent="0.15">
      <c r="A23" s="6">
        <v>19</v>
      </c>
      <c r="B23" s="7">
        <v>16.100000000000001</v>
      </c>
      <c r="C23" s="8">
        <v>28</v>
      </c>
      <c r="D23" s="9">
        <v>183.75</v>
      </c>
      <c r="E23" s="9">
        <v>67.75</v>
      </c>
      <c r="F23" s="7">
        <v>38</v>
      </c>
      <c r="G23" s="7">
        <v>106.8</v>
      </c>
      <c r="H23" s="7">
        <v>89.6</v>
      </c>
      <c r="I23" s="7">
        <v>102.4</v>
      </c>
      <c r="J23" s="10">
        <v>64.2</v>
      </c>
      <c r="L23" t="s">
        <v>5</v>
      </c>
      <c r="M23">
        <v>-6.4226247769681388E-2</v>
      </c>
      <c r="N23">
        <v>0.11596025914549239</v>
      </c>
      <c r="O23">
        <v>-0.5538643000883462</v>
      </c>
      <c r="P23">
        <v>0.58268004684798202</v>
      </c>
      <c r="Q23">
        <v>-0.29841274205700263</v>
      </c>
      <c r="R23">
        <v>0.16996024651763986</v>
      </c>
      <c r="S23">
        <v>-0.29841274205700263</v>
      </c>
      <c r="T23">
        <v>0.16996024651763986</v>
      </c>
    </row>
    <row r="24" spans="1:20" x14ac:dyDescent="0.15">
      <c r="A24" s="6">
        <v>20</v>
      </c>
      <c r="B24" s="7">
        <v>16.5</v>
      </c>
      <c r="C24" s="8">
        <v>33</v>
      </c>
      <c r="D24" s="9">
        <v>211.75</v>
      </c>
      <c r="E24" s="9">
        <v>73.5</v>
      </c>
      <c r="F24" s="7">
        <v>40</v>
      </c>
      <c r="G24" s="7">
        <v>106.2</v>
      </c>
      <c r="H24" s="7">
        <v>100.5</v>
      </c>
      <c r="I24" s="7">
        <v>109</v>
      </c>
      <c r="J24" s="10">
        <v>65.8</v>
      </c>
      <c r="L24" t="s">
        <v>6</v>
      </c>
      <c r="M24">
        <v>-0.33484145436486068</v>
      </c>
      <c r="N24">
        <v>0.40227354461450238</v>
      </c>
      <c r="O24">
        <v>-0.83237254561628782</v>
      </c>
      <c r="P24">
        <v>0.41002100755985771</v>
      </c>
      <c r="Q24">
        <v>-1.1472493590385253</v>
      </c>
      <c r="R24">
        <v>0.4775664503088039</v>
      </c>
      <c r="S24">
        <v>-1.1472493590385253</v>
      </c>
      <c r="T24">
        <v>0.4775664503088039</v>
      </c>
    </row>
    <row r="25" spans="1:20" x14ac:dyDescent="0.15">
      <c r="A25" s="6">
        <v>21</v>
      </c>
      <c r="B25" s="7">
        <v>19</v>
      </c>
      <c r="C25" s="8">
        <v>28</v>
      </c>
      <c r="D25" s="9">
        <v>179</v>
      </c>
      <c r="E25" s="9">
        <v>68</v>
      </c>
      <c r="F25" s="7">
        <v>39.1</v>
      </c>
      <c r="G25" s="7">
        <v>103.3</v>
      </c>
      <c r="H25" s="7">
        <v>95.9</v>
      </c>
      <c r="I25" s="7">
        <v>104.9</v>
      </c>
      <c r="J25" s="10">
        <v>63.5</v>
      </c>
      <c r="L25" s="140" t="s">
        <v>7</v>
      </c>
      <c r="M25">
        <v>2.3860040100781382E-2</v>
      </c>
      <c r="N25">
        <v>0.17881571640307836</v>
      </c>
      <c r="O25">
        <v>0.13343368570018282</v>
      </c>
      <c r="P25" s="141">
        <v>0.89450320258297067</v>
      </c>
      <c r="Q25">
        <v>-0.33726562533406151</v>
      </c>
      <c r="R25">
        <v>0.38498570553562428</v>
      </c>
      <c r="S25">
        <v>-0.33726562533406151</v>
      </c>
      <c r="T25">
        <v>0.38498570553562428</v>
      </c>
    </row>
    <row r="26" spans="1:20" x14ac:dyDescent="0.15">
      <c r="A26" s="6">
        <v>22</v>
      </c>
      <c r="B26" s="7">
        <v>15.3</v>
      </c>
      <c r="C26" s="8">
        <v>28</v>
      </c>
      <c r="D26" s="9">
        <v>200.5</v>
      </c>
      <c r="E26" s="9">
        <v>69.75</v>
      </c>
      <c r="F26" s="7">
        <v>41.3</v>
      </c>
      <c r="G26" s="7">
        <v>111.4</v>
      </c>
      <c r="H26" s="7">
        <v>98.8</v>
      </c>
      <c r="I26" s="7">
        <v>104.8</v>
      </c>
      <c r="J26" s="10">
        <v>63.4</v>
      </c>
      <c r="L26" t="s">
        <v>8</v>
      </c>
      <c r="M26">
        <v>0.91323815697631938</v>
      </c>
      <c r="N26">
        <v>0.16396954030477115</v>
      </c>
      <c r="O26">
        <v>5.5695597809134441</v>
      </c>
      <c r="P26">
        <v>1.7684619971561389E-6</v>
      </c>
      <c r="Q26">
        <v>0.58209495242639542</v>
      </c>
      <c r="R26">
        <v>1.2443813615262433</v>
      </c>
      <c r="S26">
        <v>0.58209495242639542</v>
      </c>
      <c r="T26">
        <v>1.2443813615262433</v>
      </c>
    </row>
    <row r="27" spans="1:20" x14ac:dyDescent="0.15">
      <c r="A27" s="6">
        <v>23</v>
      </c>
      <c r="B27" s="7">
        <v>15.7</v>
      </c>
      <c r="C27" s="8">
        <v>31</v>
      </c>
      <c r="D27" s="9">
        <v>140.25</v>
      </c>
      <c r="E27" s="9">
        <v>68.25</v>
      </c>
      <c r="F27" s="7">
        <v>33.9</v>
      </c>
      <c r="G27" s="7">
        <v>86</v>
      </c>
      <c r="H27" s="7">
        <v>76.400000000000006</v>
      </c>
      <c r="I27" s="7">
        <v>94.6</v>
      </c>
      <c r="J27" s="10">
        <v>57.4</v>
      </c>
      <c r="L27" t="s">
        <v>9</v>
      </c>
      <c r="M27">
        <v>-0.31067825215135519</v>
      </c>
      <c r="N27">
        <v>0.27487900366795859</v>
      </c>
      <c r="O27">
        <v>-1.1302363876676462</v>
      </c>
      <c r="P27">
        <v>0.26494538596241052</v>
      </c>
      <c r="Q27">
        <v>-0.86580766197290304</v>
      </c>
      <c r="R27">
        <v>0.24445115767019263</v>
      </c>
      <c r="S27">
        <v>-0.86580766197290304</v>
      </c>
      <c r="T27">
        <v>0.24445115767019263</v>
      </c>
    </row>
    <row r="28" spans="1:20" ht="14" thickBot="1" x14ac:dyDescent="0.2">
      <c r="A28" s="6">
        <v>24</v>
      </c>
      <c r="B28" s="7">
        <v>17.600000000000001</v>
      </c>
      <c r="C28" s="8">
        <v>32</v>
      </c>
      <c r="D28" s="9">
        <v>148.75</v>
      </c>
      <c r="E28" s="9">
        <v>70</v>
      </c>
      <c r="F28" s="7">
        <v>35.5</v>
      </c>
      <c r="G28" s="7">
        <v>86.7</v>
      </c>
      <c r="H28" s="7">
        <v>80</v>
      </c>
      <c r="I28" s="7">
        <v>93.4</v>
      </c>
      <c r="J28" s="10">
        <v>54.9</v>
      </c>
      <c r="L28" s="137" t="s">
        <v>10</v>
      </c>
      <c r="M28" s="137">
        <v>0.77865196499656053</v>
      </c>
      <c r="N28" s="137">
        <v>0.29072780966263112</v>
      </c>
      <c r="O28" s="137">
        <v>2.6782851145204534</v>
      </c>
      <c r="P28" s="137">
        <v>1.0598436511625951E-2</v>
      </c>
      <c r="Q28" s="137">
        <v>0.19151524213619461</v>
      </c>
      <c r="R28" s="137">
        <v>1.3657886878569265</v>
      </c>
      <c r="S28" s="137">
        <v>0.19151524213619461</v>
      </c>
      <c r="T28" s="137">
        <v>1.3657886878569265</v>
      </c>
    </row>
    <row r="29" spans="1:20" x14ac:dyDescent="0.15">
      <c r="A29" s="6">
        <v>25</v>
      </c>
      <c r="B29" s="7">
        <v>14.2</v>
      </c>
      <c r="C29" s="8">
        <v>28</v>
      </c>
      <c r="D29" s="9">
        <v>151.25</v>
      </c>
      <c r="E29" s="9">
        <v>67.75</v>
      </c>
      <c r="F29" s="7">
        <v>34.5</v>
      </c>
      <c r="G29" s="7">
        <v>90.2</v>
      </c>
      <c r="H29" s="7">
        <v>76.3</v>
      </c>
      <c r="I29" s="7">
        <v>95.8</v>
      </c>
      <c r="J29" s="10">
        <v>58.4</v>
      </c>
    </row>
    <row r="30" spans="1:20" x14ac:dyDescent="0.15">
      <c r="A30" s="6">
        <v>26</v>
      </c>
      <c r="B30" s="7">
        <v>4.5999999999999996</v>
      </c>
      <c r="C30" s="8">
        <v>27</v>
      </c>
      <c r="D30" s="9">
        <v>159.25</v>
      </c>
      <c r="E30" s="9">
        <v>71.5</v>
      </c>
      <c r="F30" s="7">
        <v>35.700000000000003</v>
      </c>
      <c r="G30" s="7">
        <v>89.6</v>
      </c>
      <c r="H30" s="7">
        <v>79.7</v>
      </c>
      <c r="I30" s="7">
        <v>96.5</v>
      </c>
      <c r="J30" s="10">
        <v>55</v>
      </c>
    </row>
    <row r="31" spans="1:20" x14ac:dyDescent="0.15">
      <c r="A31" s="6">
        <v>27</v>
      </c>
      <c r="B31" s="7">
        <v>8.5</v>
      </c>
      <c r="C31" s="8">
        <v>34</v>
      </c>
      <c r="D31" s="9">
        <v>131.5</v>
      </c>
      <c r="E31" s="9">
        <v>67.5</v>
      </c>
      <c r="F31" s="7">
        <v>36.200000000000003</v>
      </c>
      <c r="G31" s="7">
        <v>88.6</v>
      </c>
      <c r="H31" s="7">
        <v>74.599999999999994</v>
      </c>
      <c r="I31" s="7">
        <v>85.3</v>
      </c>
      <c r="J31" s="10">
        <v>51.7</v>
      </c>
      <c r="L31" s="144" t="s">
        <v>60</v>
      </c>
    </row>
    <row r="32" spans="1:20" x14ac:dyDescent="0.15">
      <c r="A32" s="6">
        <v>28</v>
      </c>
      <c r="B32" s="7">
        <v>22.4</v>
      </c>
      <c r="C32" s="8">
        <v>31</v>
      </c>
      <c r="D32" s="9">
        <v>148</v>
      </c>
      <c r="E32" s="9">
        <v>67.5</v>
      </c>
      <c r="F32" s="7">
        <v>38.799999999999997</v>
      </c>
      <c r="G32" s="7">
        <v>97.4</v>
      </c>
      <c r="H32" s="7">
        <v>88.7</v>
      </c>
      <c r="I32" s="7">
        <v>94.7</v>
      </c>
      <c r="J32" s="10">
        <v>57.5</v>
      </c>
    </row>
    <row r="33" spans="1:10" x14ac:dyDescent="0.15">
      <c r="A33" s="6">
        <v>29</v>
      </c>
      <c r="B33" s="7">
        <v>4.7</v>
      </c>
      <c r="C33" s="8">
        <v>27</v>
      </c>
      <c r="D33" s="9">
        <v>133.25</v>
      </c>
      <c r="E33" s="9">
        <v>64.75</v>
      </c>
      <c r="F33" s="7">
        <v>36.4</v>
      </c>
      <c r="G33" s="7">
        <v>93.5</v>
      </c>
      <c r="H33" s="7">
        <v>73.900000000000006</v>
      </c>
      <c r="I33" s="7">
        <v>88.5</v>
      </c>
      <c r="J33" s="10">
        <v>50.1</v>
      </c>
    </row>
    <row r="34" spans="1:10" x14ac:dyDescent="0.15">
      <c r="A34" s="6">
        <v>30</v>
      </c>
      <c r="B34" s="7">
        <v>9.4</v>
      </c>
      <c r="C34" s="8">
        <v>29</v>
      </c>
      <c r="D34" s="9">
        <v>160.75</v>
      </c>
      <c r="E34" s="9">
        <v>69</v>
      </c>
      <c r="F34" s="7">
        <v>36.700000000000003</v>
      </c>
      <c r="G34" s="7">
        <v>97.4</v>
      </c>
      <c r="H34" s="7">
        <v>83.5</v>
      </c>
      <c r="I34" s="7">
        <v>98.7</v>
      </c>
      <c r="J34" s="10">
        <v>58.9</v>
      </c>
    </row>
    <row r="35" spans="1:10" x14ac:dyDescent="0.15">
      <c r="A35" s="6">
        <v>31</v>
      </c>
      <c r="B35" s="7">
        <v>12.3</v>
      </c>
      <c r="C35" s="8">
        <v>32</v>
      </c>
      <c r="D35" s="9">
        <v>182</v>
      </c>
      <c r="E35" s="9">
        <v>73.75</v>
      </c>
      <c r="F35" s="7">
        <v>38.700000000000003</v>
      </c>
      <c r="G35" s="7">
        <v>100.5</v>
      </c>
      <c r="H35" s="7">
        <v>88.7</v>
      </c>
      <c r="I35" s="7">
        <v>99.8</v>
      </c>
      <c r="J35" s="10">
        <v>57.5</v>
      </c>
    </row>
    <row r="36" spans="1:10" x14ac:dyDescent="0.15">
      <c r="A36" s="6">
        <v>32</v>
      </c>
      <c r="B36" s="7">
        <v>6.5</v>
      </c>
      <c r="C36" s="8">
        <v>29</v>
      </c>
      <c r="D36" s="9">
        <v>160.25</v>
      </c>
      <c r="E36" s="9">
        <v>71.25</v>
      </c>
      <c r="F36" s="7">
        <v>37.299999999999997</v>
      </c>
      <c r="G36" s="7">
        <v>93.5</v>
      </c>
      <c r="H36" s="7">
        <v>84.5</v>
      </c>
      <c r="I36" s="7">
        <v>100.6</v>
      </c>
      <c r="J36" s="10">
        <v>58.5</v>
      </c>
    </row>
    <row r="37" spans="1:10" x14ac:dyDescent="0.15">
      <c r="A37" s="6">
        <v>33</v>
      </c>
      <c r="B37" s="7">
        <v>13.4</v>
      </c>
      <c r="C37" s="8">
        <v>27</v>
      </c>
      <c r="D37" s="9">
        <v>168</v>
      </c>
      <c r="E37" s="9">
        <v>71.25</v>
      </c>
      <c r="F37" s="7">
        <v>38.1</v>
      </c>
      <c r="G37" s="7">
        <v>93</v>
      </c>
      <c r="H37" s="7">
        <v>79.099999999999994</v>
      </c>
      <c r="I37" s="7">
        <v>94.5</v>
      </c>
      <c r="J37" s="10">
        <v>57.3</v>
      </c>
    </row>
    <row r="38" spans="1:10" x14ac:dyDescent="0.15">
      <c r="A38" s="6">
        <v>34</v>
      </c>
      <c r="B38" s="7">
        <v>20.9</v>
      </c>
      <c r="C38" s="8">
        <v>41</v>
      </c>
      <c r="D38" s="9">
        <v>218.5</v>
      </c>
      <c r="E38" s="9">
        <v>71</v>
      </c>
      <c r="F38" s="7">
        <v>39.799999999999997</v>
      </c>
      <c r="G38" s="7">
        <v>111.7</v>
      </c>
      <c r="H38" s="7">
        <v>100.5</v>
      </c>
      <c r="I38" s="7">
        <v>108.3</v>
      </c>
      <c r="J38" s="10">
        <v>67.099999999999994</v>
      </c>
    </row>
    <row r="39" spans="1:10" x14ac:dyDescent="0.15">
      <c r="A39" s="6">
        <v>35</v>
      </c>
      <c r="B39" s="7">
        <v>31.1</v>
      </c>
      <c r="C39" s="8">
        <v>41</v>
      </c>
      <c r="D39" s="9">
        <v>247.25</v>
      </c>
      <c r="E39" s="9">
        <v>73.5</v>
      </c>
      <c r="F39" s="7">
        <v>42.1</v>
      </c>
      <c r="G39" s="7">
        <v>117</v>
      </c>
      <c r="H39" s="7">
        <v>115.6</v>
      </c>
      <c r="I39" s="7">
        <v>116.1</v>
      </c>
      <c r="J39" s="10">
        <v>71.2</v>
      </c>
    </row>
    <row r="40" spans="1:10" x14ac:dyDescent="0.15">
      <c r="A40" s="6">
        <v>36</v>
      </c>
      <c r="B40" s="7">
        <v>38.200000000000003</v>
      </c>
      <c r="C40" s="8">
        <v>49</v>
      </c>
      <c r="D40" s="9">
        <v>191.75</v>
      </c>
      <c r="E40" s="9">
        <v>65</v>
      </c>
      <c r="F40" s="7">
        <v>38.4</v>
      </c>
      <c r="G40" s="7">
        <v>118.5</v>
      </c>
      <c r="H40" s="7">
        <v>113.1</v>
      </c>
      <c r="I40" s="7">
        <v>113.8</v>
      </c>
      <c r="J40" s="10">
        <v>61.9</v>
      </c>
    </row>
    <row r="41" spans="1:10" x14ac:dyDescent="0.15">
      <c r="A41" s="6">
        <v>37</v>
      </c>
      <c r="B41" s="7">
        <v>23.6</v>
      </c>
      <c r="C41" s="8">
        <v>40</v>
      </c>
      <c r="D41" s="9">
        <v>202.25</v>
      </c>
      <c r="E41" s="9">
        <v>70</v>
      </c>
      <c r="F41" s="7">
        <v>38.5</v>
      </c>
      <c r="G41" s="7">
        <v>106.5</v>
      </c>
      <c r="H41" s="7">
        <v>100.9</v>
      </c>
      <c r="I41" s="7">
        <v>106.2</v>
      </c>
      <c r="J41" s="10">
        <v>63.5</v>
      </c>
    </row>
    <row r="42" spans="1:10" x14ac:dyDescent="0.15">
      <c r="A42" s="6">
        <v>38</v>
      </c>
      <c r="B42" s="7">
        <v>27.5</v>
      </c>
      <c r="C42" s="8">
        <v>50</v>
      </c>
      <c r="D42" s="9">
        <v>196.75</v>
      </c>
      <c r="E42" s="9">
        <v>68.25</v>
      </c>
      <c r="F42" s="7">
        <v>42.1</v>
      </c>
      <c r="G42" s="7">
        <v>105.6</v>
      </c>
      <c r="H42" s="7">
        <v>98.8</v>
      </c>
      <c r="I42" s="7">
        <v>104.8</v>
      </c>
      <c r="J42" s="10">
        <v>66</v>
      </c>
    </row>
    <row r="43" spans="1:10" x14ac:dyDescent="0.15">
      <c r="A43" s="6">
        <v>39</v>
      </c>
      <c r="B43" s="7">
        <v>33.799999999999997</v>
      </c>
      <c r="C43" s="8">
        <v>46</v>
      </c>
      <c r="D43" s="9">
        <v>363.15</v>
      </c>
      <c r="E43" s="9">
        <v>72.25</v>
      </c>
      <c r="F43" s="7">
        <v>51.2</v>
      </c>
      <c r="G43" s="7">
        <v>136.19999999999999</v>
      </c>
      <c r="H43" s="7">
        <v>148.1</v>
      </c>
      <c r="I43" s="7">
        <v>147.69999999999999</v>
      </c>
      <c r="J43" s="10">
        <v>87.3</v>
      </c>
    </row>
    <row r="44" spans="1:10" x14ac:dyDescent="0.15">
      <c r="A44" s="6">
        <v>40</v>
      </c>
      <c r="B44" s="7">
        <v>31.3</v>
      </c>
      <c r="C44" s="8">
        <v>50</v>
      </c>
      <c r="D44" s="9">
        <v>203</v>
      </c>
      <c r="E44" s="9">
        <v>67</v>
      </c>
      <c r="F44" s="7">
        <v>40.200000000000003</v>
      </c>
      <c r="G44" s="7">
        <v>114.8</v>
      </c>
      <c r="H44" s="7">
        <v>108.1</v>
      </c>
      <c r="I44" s="7">
        <v>102.5</v>
      </c>
      <c r="J44" s="10">
        <v>61.3</v>
      </c>
    </row>
    <row r="45" spans="1:10" x14ac:dyDescent="0.15">
      <c r="A45" s="6">
        <v>41</v>
      </c>
      <c r="B45" s="7">
        <v>33.1</v>
      </c>
      <c r="C45" s="8">
        <v>45</v>
      </c>
      <c r="D45" s="9">
        <v>262.75</v>
      </c>
      <c r="E45" s="9">
        <v>68.75</v>
      </c>
      <c r="F45" s="7">
        <v>43.2</v>
      </c>
      <c r="G45" s="7">
        <v>128.30000000000001</v>
      </c>
      <c r="H45" s="7">
        <v>126.2</v>
      </c>
      <c r="I45" s="7">
        <v>125.6</v>
      </c>
      <c r="J45" s="10">
        <v>72.5</v>
      </c>
    </row>
    <row r="46" spans="1:10" x14ac:dyDescent="0.15">
      <c r="A46" s="6">
        <v>42</v>
      </c>
      <c r="B46" s="7">
        <v>31.7</v>
      </c>
      <c r="C46" s="8">
        <v>44</v>
      </c>
      <c r="D46" s="9">
        <v>205</v>
      </c>
      <c r="E46" s="9">
        <v>29.5</v>
      </c>
      <c r="F46" s="7">
        <v>36.6</v>
      </c>
      <c r="G46" s="7">
        <v>106</v>
      </c>
      <c r="H46" s="7">
        <v>104.3</v>
      </c>
      <c r="I46" s="7">
        <v>115.5</v>
      </c>
      <c r="J46" s="10">
        <v>70.599999999999994</v>
      </c>
    </row>
    <row r="47" spans="1:10" x14ac:dyDescent="0.15">
      <c r="A47" s="6">
        <v>43</v>
      </c>
      <c r="B47" s="7">
        <v>30.4</v>
      </c>
      <c r="C47" s="8">
        <v>48</v>
      </c>
      <c r="D47" s="9">
        <v>217</v>
      </c>
      <c r="E47" s="9">
        <v>70</v>
      </c>
      <c r="F47" s="7">
        <v>37.299999999999997</v>
      </c>
      <c r="G47" s="7">
        <v>113.3</v>
      </c>
      <c r="H47" s="7">
        <v>111.2</v>
      </c>
      <c r="I47" s="7">
        <v>114.1</v>
      </c>
      <c r="J47" s="10">
        <v>67.7</v>
      </c>
    </row>
    <row r="48" spans="1:10" x14ac:dyDescent="0.15">
      <c r="A48" s="6">
        <v>44</v>
      </c>
      <c r="B48" s="7">
        <v>30.8</v>
      </c>
      <c r="C48" s="8">
        <v>41</v>
      </c>
      <c r="D48" s="9">
        <v>212</v>
      </c>
      <c r="E48" s="9">
        <v>71.5</v>
      </c>
      <c r="F48" s="7">
        <v>41.5</v>
      </c>
      <c r="G48" s="7">
        <v>106.6</v>
      </c>
      <c r="H48" s="7">
        <v>104.3</v>
      </c>
      <c r="I48" s="7">
        <v>106</v>
      </c>
      <c r="J48" s="10">
        <v>65</v>
      </c>
    </row>
    <row r="49" spans="1:10" x14ac:dyDescent="0.15">
      <c r="A49" s="6">
        <v>45</v>
      </c>
      <c r="B49" s="7">
        <v>8.4</v>
      </c>
      <c r="C49" s="8">
        <v>39</v>
      </c>
      <c r="D49" s="9">
        <v>125.25</v>
      </c>
      <c r="E49" s="9">
        <v>68</v>
      </c>
      <c r="F49" s="7">
        <v>31.5</v>
      </c>
      <c r="G49" s="7">
        <v>85.1</v>
      </c>
      <c r="H49" s="7">
        <v>76</v>
      </c>
      <c r="I49" s="7">
        <v>88.2</v>
      </c>
      <c r="J49" s="10">
        <v>50</v>
      </c>
    </row>
    <row r="50" spans="1:10" x14ac:dyDescent="0.15">
      <c r="A50" s="6">
        <v>46</v>
      </c>
      <c r="B50" s="7">
        <v>14.1</v>
      </c>
      <c r="C50" s="8">
        <v>43</v>
      </c>
      <c r="D50" s="9">
        <v>164.25</v>
      </c>
      <c r="E50" s="9">
        <v>73.25</v>
      </c>
      <c r="F50" s="7">
        <v>35.700000000000003</v>
      </c>
      <c r="G50" s="7">
        <v>96.6</v>
      </c>
      <c r="H50" s="7">
        <v>81.5</v>
      </c>
      <c r="I50" s="7">
        <v>97.2</v>
      </c>
      <c r="J50" s="10">
        <v>58.4</v>
      </c>
    </row>
    <row r="51" spans="1:10" x14ac:dyDescent="0.15">
      <c r="A51" s="6">
        <v>47</v>
      </c>
      <c r="B51" s="7">
        <v>11.2</v>
      </c>
      <c r="C51" s="8">
        <v>40</v>
      </c>
      <c r="D51" s="9">
        <v>133.5</v>
      </c>
      <c r="E51" s="9">
        <v>67.5</v>
      </c>
      <c r="F51" s="7">
        <v>33.6</v>
      </c>
      <c r="G51" s="7">
        <v>88.2</v>
      </c>
      <c r="H51" s="7">
        <v>73.7</v>
      </c>
      <c r="I51" s="7">
        <v>88.5</v>
      </c>
      <c r="J51" s="10">
        <v>53.3</v>
      </c>
    </row>
    <row r="52" spans="1:10" x14ac:dyDescent="0.15">
      <c r="A52" s="6">
        <v>48</v>
      </c>
      <c r="B52" s="7">
        <v>6.4</v>
      </c>
      <c r="C52" s="8">
        <v>39</v>
      </c>
      <c r="D52" s="9">
        <v>148.5</v>
      </c>
      <c r="E52" s="9">
        <v>71.25</v>
      </c>
      <c r="F52" s="7">
        <v>34.6</v>
      </c>
      <c r="G52" s="7">
        <v>89.8</v>
      </c>
      <c r="H52" s="7">
        <v>79.5</v>
      </c>
      <c r="I52" s="7">
        <v>92.7</v>
      </c>
      <c r="J52" s="10">
        <v>52.7</v>
      </c>
    </row>
    <row r="53" spans="1:10" x14ac:dyDescent="0.15">
      <c r="A53" s="6">
        <v>49</v>
      </c>
      <c r="B53" s="7">
        <v>13.4</v>
      </c>
      <c r="C53" s="8">
        <v>45</v>
      </c>
      <c r="D53" s="9">
        <v>135.75</v>
      </c>
      <c r="E53" s="9">
        <v>68.5</v>
      </c>
      <c r="F53" s="7">
        <v>32.799999999999997</v>
      </c>
      <c r="G53" s="7">
        <v>92.3</v>
      </c>
      <c r="H53" s="7">
        <v>83.4</v>
      </c>
      <c r="I53" s="7">
        <v>90.4</v>
      </c>
      <c r="J53" s="10">
        <v>52</v>
      </c>
    </row>
    <row r="54" spans="1:10" x14ac:dyDescent="0.15">
      <c r="A54" s="11">
        <v>50</v>
      </c>
      <c r="B54" s="12">
        <v>5</v>
      </c>
      <c r="C54" s="13">
        <v>47</v>
      </c>
      <c r="D54" s="14">
        <v>127.5</v>
      </c>
      <c r="E54" s="14">
        <v>66.75</v>
      </c>
      <c r="F54" s="12">
        <v>34</v>
      </c>
      <c r="G54" s="12">
        <v>83.4</v>
      </c>
      <c r="H54" s="12">
        <v>70.400000000000006</v>
      </c>
      <c r="I54" s="12">
        <v>87.2</v>
      </c>
      <c r="J54" s="15">
        <v>50.6</v>
      </c>
    </row>
    <row r="55" spans="1:10" x14ac:dyDescent="0.15">
      <c r="D55" s="135"/>
      <c r="E55" s="136"/>
    </row>
    <row r="56" spans="1:10" x14ac:dyDescent="0.15">
      <c r="D56" s="135"/>
      <c r="E56" s="136"/>
    </row>
    <row r="57" spans="1:10" x14ac:dyDescent="0.15">
      <c r="D57" s="135"/>
      <c r="E57" s="136"/>
    </row>
    <row r="58" spans="1:10" x14ac:dyDescent="0.15">
      <c r="D58" s="135"/>
      <c r="E58" s="136"/>
    </row>
    <row r="59" spans="1:10" x14ac:dyDescent="0.15">
      <c r="D59" s="135"/>
      <c r="E59" s="136"/>
    </row>
    <row r="60" spans="1:10" x14ac:dyDescent="0.15">
      <c r="D60" s="135"/>
      <c r="E60" s="136"/>
    </row>
    <row r="61" spans="1:10" x14ac:dyDescent="0.15">
      <c r="D61" s="135"/>
      <c r="E61" s="136"/>
    </row>
    <row r="62" spans="1:10" x14ac:dyDescent="0.15">
      <c r="D62" s="135"/>
      <c r="E62" s="136"/>
    </row>
    <row r="63" spans="1:10" x14ac:dyDescent="0.15">
      <c r="D63" s="135"/>
      <c r="E63" s="136"/>
    </row>
    <row r="64" spans="1:10" x14ac:dyDescent="0.15">
      <c r="D64" s="135"/>
      <c r="E64" s="136"/>
    </row>
    <row r="65" spans="4:5" x14ac:dyDescent="0.15">
      <c r="D65" s="135"/>
      <c r="E65" s="136"/>
    </row>
    <row r="66" spans="4:5" x14ac:dyDescent="0.15">
      <c r="D66" s="135"/>
      <c r="E66" s="136"/>
    </row>
    <row r="67" spans="4:5" x14ac:dyDescent="0.15">
      <c r="D67" s="135"/>
      <c r="E67" s="136"/>
    </row>
    <row r="68" spans="4:5" x14ac:dyDescent="0.15">
      <c r="D68" s="135"/>
      <c r="E68" s="136"/>
    </row>
    <row r="69" spans="4:5" x14ac:dyDescent="0.15">
      <c r="D69" s="135"/>
      <c r="E69" s="136"/>
    </row>
    <row r="70" spans="4:5" x14ac:dyDescent="0.15">
      <c r="D70" s="135"/>
      <c r="E70" s="136"/>
    </row>
    <row r="71" spans="4:5" x14ac:dyDescent="0.15">
      <c r="D71" s="135"/>
      <c r="E71" s="136"/>
    </row>
    <row r="72" spans="4:5" x14ac:dyDescent="0.15">
      <c r="D72" s="135"/>
      <c r="E72" s="136"/>
    </row>
    <row r="73" spans="4:5" x14ac:dyDescent="0.15">
      <c r="D73" s="135"/>
      <c r="E73" s="136"/>
    </row>
    <row r="74" spans="4:5" x14ac:dyDescent="0.15">
      <c r="D74" s="135"/>
      <c r="E74" s="136"/>
    </row>
    <row r="75" spans="4:5" x14ac:dyDescent="0.15">
      <c r="D75" s="135"/>
      <c r="E75" s="136"/>
    </row>
    <row r="76" spans="4:5" x14ac:dyDescent="0.15">
      <c r="D76" s="135"/>
      <c r="E76" s="1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CB41-E48F-9A44-8648-E09DB9FE2E7E}">
  <dimension ref="A2:S54"/>
  <sheetViews>
    <sheetView topLeftCell="J15" zoomScale="75" workbookViewId="0">
      <selection activeCell="N34" sqref="N34"/>
    </sheetView>
  </sheetViews>
  <sheetFormatPr baseColWidth="10" defaultColWidth="11.5" defaultRowHeight="13" x14ac:dyDescent="0.15"/>
  <cols>
    <col min="11" max="11" width="21.33203125" customWidth="1"/>
    <col min="12" max="12" width="17.5" customWidth="1"/>
    <col min="13" max="13" width="17" customWidth="1"/>
    <col min="14" max="14" width="17.83203125" customWidth="1"/>
    <col min="15" max="15" width="19" customWidth="1"/>
    <col min="16" max="16" width="19.1640625" customWidth="1"/>
    <col min="17" max="17" width="19" customWidth="1"/>
    <col min="18" max="18" width="18.33203125" customWidth="1"/>
    <col min="19" max="19" width="18.1640625" customWidth="1"/>
  </cols>
  <sheetData>
    <row r="2" spans="1:16" ht="16" x14ac:dyDescent="0.2">
      <c r="A2" s="16" t="s">
        <v>0</v>
      </c>
    </row>
    <row r="4" spans="1:16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8</v>
      </c>
      <c r="H4" s="18" t="s">
        <v>9</v>
      </c>
      <c r="I4" s="19" t="s">
        <v>10</v>
      </c>
      <c r="K4" t="s">
        <v>12</v>
      </c>
    </row>
    <row r="5" spans="1:16" ht="14" thickBot="1" x14ac:dyDescent="0.2">
      <c r="A5" s="1">
        <v>1</v>
      </c>
      <c r="B5" s="2">
        <v>12.6</v>
      </c>
      <c r="C5" s="3">
        <v>23</v>
      </c>
      <c r="D5" s="4">
        <v>154.25</v>
      </c>
      <c r="E5" s="4">
        <v>67.75</v>
      </c>
      <c r="F5" s="2">
        <v>36.200000000000003</v>
      </c>
      <c r="G5" s="2">
        <v>85.2</v>
      </c>
      <c r="H5" s="2">
        <v>94.5</v>
      </c>
      <c r="I5" s="5">
        <v>59</v>
      </c>
    </row>
    <row r="6" spans="1:16" x14ac:dyDescent="0.15">
      <c r="A6" s="6">
        <v>2</v>
      </c>
      <c r="B6" s="7">
        <v>6.9</v>
      </c>
      <c r="C6" s="8">
        <v>22</v>
      </c>
      <c r="D6" s="9">
        <v>173.25</v>
      </c>
      <c r="E6" s="9">
        <v>72.25</v>
      </c>
      <c r="F6" s="7">
        <v>38.5</v>
      </c>
      <c r="G6" s="7">
        <v>83</v>
      </c>
      <c r="H6" s="7">
        <v>98.7</v>
      </c>
      <c r="I6" s="10">
        <v>58.7</v>
      </c>
      <c r="K6" s="139" t="s">
        <v>14</v>
      </c>
      <c r="L6" s="139"/>
    </row>
    <row r="7" spans="1:16" x14ac:dyDescent="0.15">
      <c r="A7" s="6">
        <v>3</v>
      </c>
      <c r="B7" s="7">
        <v>24.6</v>
      </c>
      <c r="C7" s="8">
        <v>22</v>
      </c>
      <c r="D7" s="9">
        <v>154</v>
      </c>
      <c r="E7" s="9">
        <v>66.25</v>
      </c>
      <c r="F7" s="7">
        <v>34</v>
      </c>
      <c r="G7" s="7">
        <v>87.9</v>
      </c>
      <c r="H7" s="7">
        <v>99.2</v>
      </c>
      <c r="I7" s="10">
        <v>59.6</v>
      </c>
      <c r="K7" t="s">
        <v>15</v>
      </c>
      <c r="L7">
        <v>0.91710872862283521</v>
      </c>
    </row>
    <row r="8" spans="1:16" x14ac:dyDescent="0.15">
      <c r="A8" s="6">
        <v>4</v>
      </c>
      <c r="B8" s="7">
        <v>10.9</v>
      </c>
      <c r="C8" s="8">
        <v>26</v>
      </c>
      <c r="D8" s="9">
        <v>184.75</v>
      </c>
      <c r="E8" s="9">
        <v>72.25</v>
      </c>
      <c r="F8" s="7">
        <v>37.4</v>
      </c>
      <c r="G8" s="7">
        <v>86.4</v>
      </c>
      <c r="H8" s="7">
        <v>101.2</v>
      </c>
      <c r="I8" s="10">
        <v>60.1</v>
      </c>
      <c r="K8" t="s">
        <v>16</v>
      </c>
      <c r="L8">
        <v>0.84108842011619311</v>
      </c>
    </row>
    <row r="9" spans="1:16" x14ac:dyDescent="0.15">
      <c r="A9" s="6">
        <v>5</v>
      </c>
      <c r="B9" s="7">
        <v>27.8</v>
      </c>
      <c r="C9" s="8">
        <v>24</v>
      </c>
      <c r="D9" s="9">
        <v>184.25</v>
      </c>
      <c r="E9" s="9">
        <v>71.25</v>
      </c>
      <c r="F9" s="7">
        <v>34.4</v>
      </c>
      <c r="G9" s="7">
        <v>100</v>
      </c>
      <c r="H9" s="7">
        <v>101.9</v>
      </c>
      <c r="I9" s="10">
        <v>63.2</v>
      </c>
      <c r="K9" t="s">
        <v>17</v>
      </c>
      <c r="L9" s="116">
        <v>0.81460315680222539</v>
      </c>
    </row>
    <row r="10" spans="1:16" x14ac:dyDescent="0.15">
      <c r="A10" s="6">
        <v>6</v>
      </c>
      <c r="B10" s="7">
        <v>20.6</v>
      </c>
      <c r="C10" s="8">
        <v>24</v>
      </c>
      <c r="D10" s="9">
        <v>210.25</v>
      </c>
      <c r="E10" s="9">
        <v>74.75</v>
      </c>
      <c r="F10" s="7">
        <v>39</v>
      </c>
      <c r="G10" s="7">
        <v>94.4</v>
      </c>
      <c r="H10" s="7">
        <v>107.8</v>
      </c>
      <c r="I10" s="10">
        <v>66</v>
      </c>
      <c r="K10" t="s">
        <v>18</v>
      </c>
      <c r="L10">
        <v>3.9102030960841168</v>
      </c>
    </row>
    <row r="11" spans="1:16" ht="14" thickBot="1" x14ac:dyDescent="0.2">
      <c r="A11" s="6">
        <v>7</v>
      </c>
      <c r="B11" s="7">
        <v>19</v>
      </c>
      <c r="C11" s="8">
        <v>26</v>
      </c>
      <c r="D11" s="9">
        <v>181</v>
      </c>
      <c r="E11" s="9">
        <v>69.75</v>
      </c>
      <c r="F11" s="7">
        <v>36.4</v>
      </c>
      <c r="G11" s="7">
        <v>90.7</v>
      </c>
      <c r="H11" s="7">
        <v>100.3</v>
      </c>
      <c r="I11" s="10">
        <v>58.4</v>
      </c>
      <c r="K11" s="137" t="s">
        <v>19</v>
      </c>
      <c r="L11" s="137">
        <v>50</v>
      </c>
    </row>
    <row r="12" spans="1:16" x14ac:dyDescent="0.15">
      <c r="A12" s="6">
        <v>8</v>
      </c>
      <c r="B12" s="7">
        <v>12.8</v>
      </c>
      <c r="C12" s="8">
        <v>25</v>
      </c>
      <c r="D12" s="9">
        <v>176</v>
      </c>
      <c r="E12" s="9">
        <v>72.5</v>
      </c>
      <c r="F12" s="7">
        <v>37.799999999999997</v>
      </c>
      <c r="G12" s="7">
        <v>88.5</v>
      </c>
      <c r="H12" s="7">
        <v>97.1</v>
      </c>
      <c r="I12" s="10">
        <v>60</v>
      </c>
    </row>
    <row r="13" spans="1:16" ht="14" thickBot="1" x14ac:dyDescent="0.2">
      <c r="A13" s="6">
        <v>9</v>
      </c>
      <c r="B13" s="7">
        <v>5.0999999999999996</v>
      </c>
      <c r="C13" s="8">
        <v>25</v>
      </c>
      <c r="D13" s="9">
        <v>191</v>
      </c>
      <c r="E13" s="9">
        <v>74</v>
      </c>
      <c r="F13" s="7">
        <v>38.1</v>
      </c>
      <c r="G13" s="7">
        <v>82.5</v>
      </c>
      <c r="H13" s="7">
        <v>99.9</v>
      </c>
      <c r="I13" s="10">
        <v>62.9</v>
      </c>
      <c r="K13" t="s">
        <v>20</v>
      </c>
    </row>
    <row r="14" spans="1:16" x14ac:dyDescent="0.15">
      <c r="A14" s="6">
        <v>10</v>
      </c>
      <c r="B14" s="7">
        <v>12</v>
      </c>
      <c r="C14" s="8">
        <v>23</v>
      </c>
      <c r="D14" s="9">
        <v>198.25</v>
      </c>
      <c r="E14" s="9">
        <v>73.5</v>
      </c>
      <c r="F14" s="7">
        <v>42.1</v>
      </c>
      <c r="G14" s="7">
        <v>88.6</v>
      </c>
      <c r="H14" s="7">
        <v>104.1</v>
      </c>
      <c r="I14" s="10">
        <v>63.1</v>
      </c>
      <c r="K14" s="138"/>
      <c r="L14" s="138" t="s">
        <v>21</v>
      </c>
      <c r="M14" s="138" t="s">
        <v>22</v>
      </c>
      <c r="N14" s="138" t="s">
        <v>23</v>
      </c>
      <c r="O14" s="138" t="s">
        <v>24</v>
      </c>
      <c r="P14" s="138" t="s">
        <v>25</v>
      </c>
    </row>
    <row r="15" spans="1:16" x14ac:dyDescent="0.15">
      <c r="A15" s="6">
        <v>11</v>
      </c>
      <c r="B15" s="7">
        <v>7.5</v>
      </c>
      <c r="C15" s="8">
        <v>26</v>
      </c>
      <c r="D15" s="9">
        <v>186.25</v>
      </c>
      <c r="E15" s="9">
        <v>74.5</v>
      </c>
      <c r="F15" s="7">
        <v>38.5</v>
      </c>
      <c r="G15" s="7">
        <v>83.6</v>
      </c>
      <c r="H15" s="7">
        <v>98.2</v>
      </c>
      <c r="I15" s="10">
        <v>59.7</v>
      </c>
      <c r="K15" t="s">
        <v>26</v>
      </c>
      <c r="L15">
        <v>7</v>
      </c>
      <c r="M15">
        <v>3398.8658933897163</v>
      </c>
      <c r="N15">
        <v>485.55227048424518</v>
      </c>
      <c r="O15">
        <v>31.756845689830051</v>
      </c>
      <c r="P15">
        <v>8.2437959416397274E-15</v>
      </c>
    </row>
    <row r="16" spans="1:16" x14ac:dyDescent="0.15">
      <c r="A16" s="6">
        <v>12</v>
      </c>
      <c r="B16" s="7">
        <v>8.5</v>
      </c>
      <c r="C16" s="8">
        <v>27</v>
      </c>
      <c r="D16" s="9">
        <v>216</v>
      </c>
      <c r="E16" s="9">
        <v>76</v>
      </c>
      <c r="F16" s="7">
        <v>39.4</v>
      </c>
      <c r="G16" s="7">
        <v>90.9</v>
      </c>
      <c r="H16" s="7">
        <v>107.7</v>
      </c>
      <c r="I16" s="10">
        <v>66.2</v>
      </c>
      <c r="K16" t="s">
        <v>27</v>
      </c>
      <c r="L16">
        <v>42</v>
      </c>
      <c r="M16">
        <v>642.16690661028406</v>
      </c>
      <c r="N16">
        <v>15.289688252625812</v>
      </c>
    </row>
    <row r="17" spans="1:19" ht="14" thickBot="1" x14ac:dyDescent="0.2">
      <c r="A17" s="6">
        <v>13</v>
      </c>
      <c r="B17" s="7">
        <v>20.5</v>
      </c>
      <c r="C17" s="8">
        <v>32</v>
      </c>
      <c r="D17" s="9">
        <v>180.5</v>
      </c>
      <c r="E17" s="9">
        <v>69.5</v>
      </c>
      <c r="F17" s="7">
        <v>38.4</v>
      </c>
      <c r="G17" s="7">
        <v>91.6</v>
      </c>
      <c r="H17" s="7">
        <v>103.9</v>
      </c>
      <c r="I17" s="10">
        <v>63.4</v>
      </c>
      <c r="K17" s="137" t="s">
        <v>28</v>
      </c>
      <c r="L17" s="137">
        <v>49</v>
      </c>
      <c r="M17" s="137">
        <v>4041.0328000000004</v>
      </c>
      <c r="N17" s="137"/>
      <c r="O17" s="137"/>
      <c r="P17" s="137"/>
    </row>
    <row r="18" spans="1:19" ht="14" thickBot="1" x14ac:dyDescent="0.2">
      <c r="A18" s="6">
        <v>14</v>
      </c>
      <c r="B18" s="7">
        <v>20.8</v>
      </c>
      <c r="C18" s="8">
        <v>30</v>
      </c>
      <c r="D18" s="9">
        <v>205.25</v>
      </c>
      <c r="E18" s="9">
        <v>71.25</v>
      </c>
      <c r="F18" s="7">
        <v>39.4</v>
      </c>
      <c r="G18" s="7">
        <v>101.8</v>
      </c>
      <c r="H18" s="7">
        <v>108.6</v>
      </c>
      <c r="I18" s="10">
        <v>66</v>
      </c>
    </row>
    <row r="19" spans="1:19" x14ac:dyDescent="0.15">
      <c r="A19" s="6">
        <v>15</v>
      </c>
      <c r="B19" s="7">
        <v>21.7</v>
      </c>
      <c r="C19" s="8">
        <v>35</v>
      </c>
      <c r="D19" s="9">
        <v>187.75</v>
      </c>
      <c r="E19" s="9">
        <v>69.5</v>
      </c>
      <c r="F19" s="7">
        <v>40.5</v>
      </c>
      <c r="G19" s="7">
        <v>96.4</v>
      </c>
      <c r="H19" s="7">
        <v>100.1</v>
      </c>
      <c r="I19" s="10">
        <v>69</v>
      </c>
      <c r="K19" s="138"/>
      <c r="L19" s="138" t="s">
        <v>29</v>
      </c>
      <c r="M19" s="138" t="s">
        <v>18</v>
      </c>
      <c r="N19" s="138" t="s">
        <v>30</v>
      </c>
      <c r="O19" s="138" t="s">
        <v>31</v>
      </c>
      <c r="P19" s="138" t="s">
        <v>32</v>
      </c>
      <c r="Q19" s="138" t="s">
        <v>33</v>
      </c>
      <c r="R19" s="138" t="s">
        <v>34</v>
      </c>
      <c r="S19" s="138" t="s">
        <v>35</v>
      </c>
    </row>
    <row r="20" spans="1:19" x14ac:dyDescent="0.15">
      <c r="A20" s="6">
        <v>16</v>
      </c>
      <c r="B20" s="7">
        <v>20.5</v>
      </c>
      <c r="C20" s="8">
        <v>35</v>
      </c>
      <c r="D20" s="9">
        <v>162.75</v>
      </c>
      <c r="E20" s="9">
        <v>66</v>
      </c>
      <c r="F20" s="7">
        <v>36.4</v>
      </c>
      <c r="G20" s="7">
        <v>92.8</v>
      </c>
      <c r="H20" s="7">
        <v>99.2</v>
      </c>
      <c r="I20" s="10">
        <v>63.1</v>
      </c>
      <c r="K20" t="s">
        <v>36</v>
      </c>
      <c r="L20">
        <v>-34.49853366082958</v>
      </c>
      <c r="M20">
        <v>23.622612443823865</v>
      </c>
      <c r="N20">
        <v>-1.4604029822217748</v>
      </c>
      <c r="O20">
        <v>0.15162001743571998</v>
      </c>
      <c r="P20">
        <v>-82.170895606481864</v>
      </c>
      <c r="Q20">
        <v>13.173828284822701</v>
      </c>
      <c r="R20">
        <v>-82.170895606481864</v>
      </c>
      <c r="S20">
        <v>13.173828284822701</v>
      </c>
    </row>
    <row r="21" spans="1:19" x14ac:dyDescent="0.15">
      <c r="A21" s="6">
        <v>17</v>
      </c>
      <c r="B21" s="7">
        <v>28.1</v>
      </c>
      <c r="C21" s="8">
        <v>34</v>
      </c>
      <c r="D21" s="9">
        <v>195.75</v>
      </c>
      <c r="E21" s="9">
        <v>71</v>
      </c>
      <c r="F21" s="7">
        <v>38.9</v>
      </c>
      <c r="G21" s="7">
        <v>96.4</v>
      </c>
      <c r="H21" s="7">
        <v>105.2</v>
      </c>
      <c r="I21" s="10">
        <v>64.8</v>
      </c>
      <c r="K21" t="s">
        <v>3</v>
      </c>
      <c r="L21">
        <v>9.0113095640535115E-2</v>
      </c>
      <c r="M21">
        <v>8.6930799297345429E-2</v>
      </c>
      <c r="N21">
        <v>1.0366072366630921</v>
      </c>
      <c r="O21">
        <v>0.30585054039466109</v>
      </c>
      <c r="P21">
        <v>-8.5320359832820325E-2</v>
      </c>
      <c r="Q21">
        <v>0.26554655111389058</v>
      </c>
      <c r="R21">
        <v>-8.5320359832820325E-2</v>
      </c>
      <c r="S21">
        <v>0.26554655111389058</v>
      </c>
    </row>
    <row r="22" spans="1:19" x14ac:dyDescent="0.15">
      <c r="A22" s="6">
        <v>18</v>
      </c>
      <c r="B22" s="7">
        <v>22.4</v>
      </c>
      <c r="C22" s="8">
        <v>32</v>
      </c>
      <c r="D22" s="9">
        <v>209.25</v>
      </c>
      <c r="E22" s="9">
        <v>71</v>
      </c>
      <c r="F22" s="7">
        <v>42.1</v>
      </c>
      <c r="G22" s="7">
        <v>97.5</v>
      </c>
      <c r="H22" s="7">
        <v>107</v>
      </c>
      <c r="I22" s="10">
        <v>66.900000000000006</v>
      </c>
      <c r="K22" t="s">
        <v>4</v>
      </c>
      <c r="L22">
        <v>-0.19102149873372656</v>
      </c>
      <c r="M22">
        <v>7.6254278751419838E-2</v>
      </c>
      <c r="N22">
        <v>-2.5050594125535519</v>
      </c>
      <c r="O22">
        <v>1.6208261012557398E-2</v>
      </c>
      <c r="P22">
        <v>-0.34490886344358435</v>
      </c>
      <c r="Q22">
        <v>-3.713413402386876E-2</v>
      </c>
      <c r="R22">
        <v>-0.34490886344358435</v>
      </c>
      <c r="S22">
        <v>-3.713413402386876E-2</v>
      </c>
    </row>
    <row r="23" spans="1:19" x14ac:dyDescent="0.15">
      <c r="A23" s="6">
        <v>19</v>
      </c>
      <c r="B23" s="7">
        <v>16.100000000000001</v>
      </c>
      <c r="C23" s="8">
        <v>28</v>
      </c>
      <c r="D23" s="9">
        <v>183.75</v>
      </c>
      <c r="E23" s="9">
        <v>67.75</v>
      </c>
      <c r="F23" s="7">
        <v>38</v>
      </c>
      <c r="G23" s="7">
        <v>89.6</v>
      </c>
      <c r="H23" s="7">
        <v>102.4</v>
      </c>
      <c r="I23" s="10">
        <v>64.2</v>
      </c>
      <c r="K23" s="141" t="s">
        <v>5</v>
      </c>
      <c r="L23">
        <v>-6.5095802881796824E-2</v>
      </c>
      <c r="M23">
        <v>0.11441523309268407</v>
      </c>
      <c r="N23">
        <v>-0.56894349748922701</v>
      </c>
      <c r="O23" s="141">
        <v>0.57242458829919296</v>
      </c>
      <c r="P23">
        <v>-0.29599509130985013</v>
      </c>
      <c r="Q23">
        <v>0.16580348554625648</v>
      </c>
      <c r="R23">
        <v>-0.29599509130985013</v>
      </c>
      <c r="S23">
        <v>0.16580348554625648</v>
      </c>
    </row>
    <row r="24" spans="1:19" x14ac:dyDescent="0.15">
      <c r="A24" s="6">
        <v>20</v>
      </c>
      <c r="B24" s="7">
        <v>16.5</v>
      </c>
      <c r="C24" s="8">
        <v>33</v>
      </c>
      <c r="D24" s="9">
        <v>211.75</v>
      </c>
      <c r="E24" s="9">
        <v>73.5</v>
      </c>
      <c r="F24" s="7">
        <v>40</v>
      </c>
      <c r="G24" s="7">
        <v>100.5</v>
      </c>
      <c r="H24" s="7">
        <v>109</v>
      </c>
      <c r="I24" s="10">
        <v>65.8</v>
      </c>
      <c r="K24" t="s">
        <v>6</v>
      </c>
      <c r="L24">
        <v>-0.32251223049636174</v>
      </c>
      <c r="M24">
        <v>0.38691293443295216</v>
      </c>
      <c r="N24">
        <v>-0.83355246567041208</v>
      </c>
      <c r="O24">
        <v>0.40924880875850667</v>
      </c>
      <c r="P24">
        <v>-1.1033341440592956</v>
      </c>
      <c r="Q24">
        <v>0.45830968306657216</v>
      </c>
      <c r="R24">
        <v>-1.1033341440592956</v>
      </c>
      <c r="S24">
        <v>0.45830968306657216</v>
      </c>
    </row>
    <row r="25" spans="1:19" x14ac:dyDescent="0.15">
      <c r="A25" s="6">
        <v>21</v>
      </c>
      <c r="B25" s="7">
        <v>19</v>
      </c>
      <c r="C25" s="8">
        <v>28</v>
      </c>
      <c r="D25" s="9">
        <v>179</v>
      </c>
      <c r="E25" s="9">
        <v>68</v>
      </c>
      <c r="F25" s="7">
        <v>39.1</v>
      </c>
      <c r="G25" s="7">
        <v>95.9</v>
      </c>
      <c r="H25" s="7">
        <v>104.9</v>
      </c>
      <c r="I25" s="10">
        <v>63.5</v>
      </c>
      <c r="K25" t="s">
        <v>8</v>
      </c>
      <c r="L25">
        <v>0.92559322791610654</v>
      </c>
      <c r="M25">
        <v>0.13373195051102679</v>
      </c>
      <c r="N25">
        <v>6.9212572192296502</v>
      </c>
      <c r="O25">
        <v>1.8838778186015049E-8</v>
      </c>
      <c r="P25">
        <v>0.65571122550758143</v>
      </c>
      <c r="Q25">
        <v>1.1954752303246317</v>
      </c>
      <c r="R25">
        <v>0.65571122550758143</v>
      </c>
      <c r="S25">
        <v>1.1954752303246317</v>
      </c>
    </row>
    <row r="26" spans="1:19" x14ac:dyDescent="0.15">
      <c r="A26" s="6">
        <v>22</v>
      </c>
      <c r="B26" s="7">
        <v>15.3</v>
      </c>
      <c r="C26" s="8">
        <v>28</v>
      </c>
      <c r="D26" s="9">
        <v>200.5</v>
      </c>
      <c r="E26" s="9">
        <v>69.75</v>
      </c>
      <c r="F26" s="7">
        <v>41.3</v>
      </c>
      <c r="G26" s="7">
        <v>98.8</v>
      </c>
      <c r="H26" s="7">
        <v>104.8</v>
      </c>
      <c r="I26" s="10">
        <v>63.4</v>
      </c>
      <c r="K26" t="s">
        <v>9</v>
      </c>
      <c r="L26">
        <v>-0.31009167527860421</v>
      </c>
      <c r="M26">
        <v>0.27161114314373525</v>
      </c>
      <c r="N26">
        <v>-1.1416750862629568</v>
      </c>
      <c r="O26">
        <v>0.26005658133607334</v>
      </c>
      <c r="P26">
        <v>-0.8582251535385782</v>
      </c>
      <c r="Q26">
        <v>0.23804180298136973</v>
      </c>
      <c r="R26">
        <v>-0.8582251535385782</v>
      </c>
      <c r="S26">
        <v>0.23804180298136973</v>
      </c>
    </row>
    <row r="27" spans="1:19" ht="14" thickBot="1" x14ac:dyDescent="0.2">
      <c r="A27" s="6">
        <v>23</v>
      </c>
      <c r="B27" s="7">
        <v>15.7</v>
      </c>
      <c r="C27" s="8">
        <v>31</v>
      </c>
      <c r="D27" s="9">
        <v>140.25</v>
      </c>
      <c r="E27" s="9">
        <v>68.25</v>
      </c>
      <c r="F27" s="7">
        <v>33.9</v>
      </c>
      <c r="G27" s="7">
        <v>76.400000000000006</v>
      </c>
      <c r="H27" s="7">
        <v>94.6</v>
      </c>
      <c r="I27" s="10">
        <v>57.4</v>
      </c>
      <c r="K27" s="137" t="s">
        <v>10</v>
      </c>
      <c r="L27" s="137">
        <v>0.77150153503605801</v>
      </c>
      <c r="M27" s="137">
        <v>0.28238544416664979</v>
      </c>
      <c r="N27" s="137">
        <v>2.7320867664154682</v>
      </c>
      <c r="O27" s="137">
        <v>9.1657551516830076E-3</v>
      </c>
      <c r="P27" s="137">
        <v>0.20162463702108216</v>
      </c>
      <c r="Q27" s="137">
        <v>1.3413784330510339</v>
      </c>
      <c r="R27" s="137">
        <v>0.20162463702108216</v>
      </c>
      <c r="S27" s="137">
        <v>1.3413784330510339</v>
      </c>
    </row>
    <row r="28" spans="1:19" x14ac:dyDescent="0.15">
      <c r="A28" s="6">
        <v>24</v>
      </c>
      <c r="B28" s="7">
        <v>17.600000000000001</v>
      </c>
      <c r="C28" s="8">
        <v>32</v>
      </c>
      <c r="D28" s="9">
        <v>148.75</v>
      </c>
      <c r="E28" s="9">
        <v>70</v>
      </c>
      <c r="F28" s="7">
        <v>35.5</v>
      </c>
      <c r="G28" s="7">
        <v>80</v>
      </c>
      <c r="H28" s="7">
        <v>93.4</v>
      </c>
      <c r="I28" s="10">
        <v>54.9</v>
      </c>
    </row>
    <row r="29" spans="1:19" x14ac:dyDescent="0.15">
      <c r="A29" s="6">
        <v>25</v>
      </c>
      <c r="B29" s="7">
        <v>14.2</v>
      </c>
      <c r="C29" s="8">
        <v>28</v>
      </c>
      <c r="D29" s="9">
        <v>151.25</v>
      </c>
      <c r="E29" s="9">
        <v>67.75</v>
      </c>
      <c r="F29" s="7">
        <v>34.5</v>
      </c>
      <c r="G29" s="7">
        <v>76.3</v>
      </c>
      <c r="H29" s="7">
        <v>95.8</v>
      </c>
      <c r="I29" s="10">
        <v>58.4</v>
      </c>
    </row>
    <row r="30" spans="1:19" x14ac:dyDescent="0.15">
      <c r="A30" s="6">
        <v>26</v>
      </c>
      <c r="B30" s="7">
        <v>4.5999999999999996</v>
      </c>
      <c r="C30" s="8">
        <v>27</v>
      </c>
      <c r="D30" s="9">
        <v>159.25</v>
      </c>
      <c r="E30" s="9">
        <v>71.5</v>
      </c>
      <c r="F30" s="7">
        <v>35.700000000000003</v>
      </c>
      <c r="G30" s="7">
        <v>79.7</v>
      </c>
      <c r="H30" s="7">
        <v>96.5</v>
      </c>
      <c r="I30" s="10">
        <v>55</v>
      </c>
      <c r="K30" s="144" t="s">
        <v>61</v>
      </c>
    </row>
    <row r="31" spans="1:19" x14ac:dyDescent="0.15">
      <c r="A31" s="6">
        <v>27</v>
      </c>
      <c r="B31" s="7">
        <v>8.5</v>
      </c>
      <c r="C31" s="8">
        <v>34</v>
      </c>
      <c r="D31" s="9">
        <v>131.5</v>
      </c>
      <c r="E31" s="9">
        <v>67.5</v>
      </c>
      <c r="F31" s="7">
        <v>36.200000000000003</v>
      </c>
      <c r="G31" s="7">
        <v>74.599999999999994</v>
      </c>
      <c r="H31" s="7">
        <v>85.3</v>
      </c>
      <c r="I31" s="10">
        <v>51.7</v>
      </c>
    </row>
    <row r="32" spans="1:19" x14ac:dyDescent="0.15">
      <c r="A32" s="6">
        <v>28</v>
      </c>
      <c r="B32" s="7">
        <v>22.4</v>
      </c>
      <c r="C32" s="8">
        <v>31</v>
      </c>
      <c r="D32" s="9">
        <v>148</v>
      </c>
      <c r="E32" s="9">
        <v>67.5</v>
      </c>
      <c r="F32" s="7">
        <v>38.799999999999997</v>
      </c>
      <c r="G32" s="7">
        <v>88.7</v>
      </c>
      <c r="H32" s="7">
        <v>94.7</v>
      </c>
      <c r="I32" s="10">
        <v>57.5</v>
      </c>
    </row>
    <row r="33" spans="1:9" x14ac:dyDescent="0.15">
      <c r="A33" s="6">
        <v>29</v>
      </c>
      <c r="B33" s="7">
        <v>4.7</v>
      </c>
      <c r="C33" s="8">
        <v>27</v>
      </c>
      <c r="D33" s="9">
        <v>133.25</v>
      </c>
      <c r="E33" s="9">
        <v>64.75</v>
      </c>
      <c r="F33" s="7">
        <v>36.4</v>
      </c>
      <c r="G33" s="7">
        <v>73.900000000000006</v>
      </c>
      <c r="H33" s="7">
        <v>88.5</v>
      </c>
      <c r="I33" s="10">
        <v>50.1</v>
      </c>
    </row>
    <row r="34" spans="1:9" x14ac:dyDescent="0.15">
      <c r="A34" s="6">
        <v>30</v>
      </c>
      <c r="B34" s="7">
        <v>9.4</v>
      </c>
      <c r="C34" s="8">
        <v>29</v>
      </c>
      <c r="D34" s="9">
        <v>160.75</v>
      </c>
      <c r="E34" s="9">
        <v>69</v>
      </c>
      <c r="F34" s="7">
        <v>36.700000000000003</v>
      </c>
      <c r="G34" s="7">
        <v>83.5</v>
      </c>
      <c r="H34" s="7">
        <v>98.7</v>
      </c>
      <c r="I34" s="10">
        <v>58.9</v>
      </c>
    </row>
    <row r="35" spans="1:9" x14ac:dyDescent="0.15">
      <c r="A35" s="6">
        <v>31</v>
      </c>
      <c r="B35" s="7">
        <v>12.3</v>
      </c>
      <c r="C35" s="8">
        <v>32</v>
      </c>
      <c r="D35" s="9">
        <v>182</v>
      </c>
      <c r="E35" s="9">
        <v>73.75</v>
      </c>
      <c r="F35" s="7">
        <v>38.700000000000003</v>
      </c>
      <c r="G35" s="7">
        <v>88.7</v>
      </c>
      <c r="H35" s="7">
        <v>99.8</v>
      </c>
      <c r="I35" s="10">
        <v>57.5</v>
      </c>
    </row>
    <row r="36" spans="1:9" x14ac:dyDescent="0.15">
      <c r="A36" s="6">
        <v>32</v>
      </c>
      <c r="B36" s="7">
        <v>6.5</v>
      </c>
      <c r="C36" s="8">
        <v>29</v>
      </c>
      <c r="D36" s="9">
        <v>160.25</v>
      </c>
      <c r="E36" s="9">
        <v>71.25</v>
      </c>
      <c r="F36" s="7">
        <v>37.299999999999997</v>
      </c>
      <c r="G36" s="7">
        <v>84.5</v>
      </c>
      <c r="H36" s="7">
        <v>100.6</v>
      </c>
      <c r="I36" s="10">
        <v>58.5</v>
      </c>
    </row>
    <row r="37" spans="1:9" x14ac:dyDescent="0.15">
      <c r="A37" s="6">
        <v>33</v>
      </c>
      <c r="B37" s="7">
        <v>13.4</v>
      </c>
      <c r="C37" s="8">
        <v>27</v>
      </c>
      <c r="D37" s="9">
        <v>168</v>
      </c>
      <c r="E37" s="9">
        <v>71.25</v>
      </c>
      <c r="F37" s="7">
        <v>38.1</v>
      </c>
      <c r="G37" s="7">
        <v>79.099999999999994</v>
      </c>
      <c r="H37" s="7">
        <v>94.5</v>
      </c>
      <c r="I37" s="10">
        <v>57.3</v>
      </c>
    </row>
    <row r="38" spans="1:9" x14ac:dyDescent="0.15">
      <c r="A38" s="6">
        <v>34</v>
      </c>
      <c r="B38" s="7">
        <v>20.9</v>
      </c>
      <c r="C38" s="8">
        <v>41</v>
      </c>
      <c r="D38" s="9">
        <v>218.5</v>
      </c>
      <c r="E38" s="9">
        <v>71</v>
      </c>
      <c r="F38" s="7">
        <v>39.799999999999997</v>
      </c>
      <c r="G38" s="7">
        <v>100.5</v>
      </c>
      <c r="H38" s="7">
        <v>108.3</v>
      </c>
      <c r="I38" s="10">
        <v>67.099999999999994</v>
      </c>
    </row>
    <row r="39" spans="1:9" x14ac:dyDescent="0.15">
      <c r="A39" s="6">
        <v>35</v>
      </c>
      <c r="B39" s="7">
        <v>31.1</v>
      </c>
      <c r="C39" s="8">
        <v>41</v>
      </c>
      <c r="D39" s="9">
        <v>247.25</v>
      </c>
      <c r="E39" s="9">
        <v>73.5</v>
      </c>
      <c r="F39" s="7">
        <v>42.1</v>
      </c>
      <c r="G39" s="7">
        <v>115.6</v>
      </c>
      <c r="H39" s="7">
        <v>116.1</v>
      </c>
      <c r="I39" s="10">
        <v>71.2</v>
      </c>
    </row>
    <row r="40" spans="1:9" x14ac:dyDescent="0.15">
      <c r="A40" s="6">
        <v>36</v>
      </c>
      <c r="B40" s="7">
        <v>38.200000000000003</v>
      </c>
      <c r="C40" s="8">
        <v>49</v>
      </c>
      <c r="D40" s="9">
        <v>191.75</v>
      </c>
      <c r="E40" s="9">
        <v>65</v>
      </c>
      <c r="F40" s="7">
        <v>38.4</v>
      </c>
      <c r="G40" s="7">
        <v>113.1</v>
      </c>
      <c r="H40" s="7">
        <v>113.8</v>
      </c>
      <c r="I40" s="10">
        <v>61.9</v>
      </c>
    </row>
    <row r="41" spans="1:9" x14ac:dyDescent="0.15">
      <c r="A41" s="6">
        <v>37</v>
      </c>
      <c r="B41" s="7">
        <v>23.6</v>
      </c>
      <c r="C41" s="8">
        <v>40</v>
      </c>
      <c r="D41" s="9">
        <v>202.25</v>
      </c>
      <c r="E41" s="9">
        <v>70</v>
      </c>
      <c r="F41" s="7">
        <v>38.5</v>
      </c>
      <c r="G41" s="7">
        <v>100.9</v>
      </c>
      <c r="H41" s="7">
        <v>106.2</v>
      </c>
      <c r="I41" s="10">
        <v>63.5</v>
      </c>
    </row>
    <row r="42" spans="1:9" x14ac:dyDescent="0.15">
      <c r="A42" s="6">
        <v>38</v>
      </c>
      <c r="B42" s="7">
        <v>27.5</v>
      </c>
      <c r="C42" s="8">
        <v>50</v>
      </c>
      <c r="D42" s="9">
        <v>196.75</v>
      </c>
      <c r="E42" s="9">
        <v>68.25</v>
      </c>
      <c r="F42" s="7">
        <v>42.1</v>
      </c>
      <c r="G42" s="7">
        <v>98.8</v>
      </c>
      <c r="H42" s="7">
        <v>104.8</v>
      </c>
      <c r="I42" s="10">
        <v>66</v>
      </c>
    </row>
    <row r="43" spans="1:9" x14ac:dyDescent="0.15">
      <c r="A43" s="6">
        <v>39</v>
      </c>
      <c r="B43" s="7">
        <v>33.799999999999997</v>
      </c>
      <c r="C43" s="8">
        <v>46</v>
      </c>
      <c r="D43" s="9">
        <v>363.15</v>
      </c>
      <c r="E43" s="9">
        <v>72.25</v>
      </c>
      <c r="F43" s="7">
        <v>51.2</v>
      </c>
      <c r="G43" s="7">
        <v>148.1</v>
      </c>
      <c r="H43" s="7">
        <v>147.69999999999999</v>
      </c>
      <c r="I43" s="10">
        <v>87.3</v>
      </c>
    </row>
    <row r="44" spans="1:9" x14ac:dyDescent="0.15">
      <c r="A44" s="6">
        <v>40</v>
      </c>
      <c r="B44" s="7">
        <v>31.3</v>
      </c>
      <c r="C44" s="8">
        <v>50</v>
      </c>
      <c r="D44" s="9">
        <v>203</v>
      </c>
      <c r="E44" s="9">
        <v>67</v>
      </c>
      <c r="F44" s="7">
        <v>40.200000000000003</v>
      </c>
      <c r="G44" s="7">
        <v>108.1</v>
      </c>
      <c r="H44" s="7">
        <v>102.5</v>
      </c>
      <c r="I44" s="10">
        <v>61.3</v>
      </c>
    </row>
    <row r="45" spans="1:9" x14ac:dyDescent="0.15">
      <c r="A45" s="6">
        <v>41</v>
      </c>
      <c r="B45" s="7">
        <v>33.1</v>
      </c>
      <c r="C45" s="8">
        <v>45</v>
      </c>
      <c r="D45" s="9">
        <v>262.75</v>
      </c>
      <c r="E45" s="9">
        <v>68.75</v>
      </c>
      <c r="F45" s="7">
        <v>43.2</v>
      </c>
      <c r="G45" s="7">
        <v>126.2</v>
      </c>
      <c r="H45" s="7">
        <v>125.6</v>
      </c>
      <c r="I45" s="10">
        <v>72.5</v>
      </c>
    </row>
    <row r="46" spans="1:9" x14ac:dyDescent="0.15">
      <c r="A46" s="6">
        <v>42</v>
      </c>
      <c r="B46" s="7">
        <v>31.7</v>
      </c>
      <c r="C46" s="8">
        <v>44</v>
      </c>
      <c r="D46" s="9">
        <v>205</v>
      </c>
      <c r="E46" s="9">
        <v>29.5</v>
      </c>
      <c r="F46" s="7">
        <v>36.6</v>
      </c>
      <c r="G46" s="7">
        <v>104.3</v>
      </c>
      <c r="H46" s="7">
        <v>115.5</v>
      </c>
      <c r="I46" s="10">
        <v>70.599999999999994</v>
      </c>
    </row>
    <row r="47" spans="1:9" x14ac:dyDescent="0.15">
      <c r="A47" s="6">
        <v>43</v>
      </c>
      <c r="B47" s="7">
        <v>30.4</v>
      </c>
      <c r="C47" s="8">
        <v>48</v>
      </c>
      <c r="D47" s="9">
        <v>217</v>
      </c>
      <c r="E47" s="9">
        <v>70</v>
      </c>
      <c r="F47" s="7">
        <v>37.299999999999997</v>
      </c>
      <c r="G47" s="7">
        <v>111.2</v>
      </c>
      <c r="H47" s="7">
        <v>114.1</v>
      </c>
      <c r="I47" s="10">
        <v>67.7</v>
      </c>
    </row>
    <row r="48" spans="1:9" x14ac:dyDescent="0.15">
      <c r="A48" s="6">
        <v>44</v>
      </c>
      <c r="B48" s="7">
        <v>30.8</v>
      </c>
      <c r="C48" s="8">
        <v>41</v>
      </c>
      <c r="D48" s="9">
        <v>212</v>
      </c>
      <c r="E48" s="9">
        <v>71.5</v>
      </c>
      <c r="F48" s="7">
        <v>41.5</v>
      </c>
      <c r="G48" s="7">
        <v>104.3</v>
      </c>
      <c r="H48" s="7">
        <v>106</v>
      </c>
      <c r="I48" s="10">
        <v>65</v>
      </c>
    </row>
    <row r="49" spans="1:9" x14ac:dyDescent="0.15">
      <c r="A49" s="6">
        <v>45</v>
      </c>
      <c r="B49" s="7">
        <v>8.4</v>
      </c>
      <c r="C49" s="8">
        <v>39</v>
      </c>
      <c r="D49" s="9">
        <v>125.25</v>
      </c>
      <c r="E49" s="9">
        <v>68</v>
      </c>
      <c r="F49" s="7">
        <v>31.5</v>
      </c>
      <c r="G49" s="7">
        <v>76</v>
      </c>
      <c r="H49" s="7">
        <v>88.2</v>
      </c>
      <c r="I49" s="10">
        <v>50</v>
      </c>
    </row>
    <row r="50" spans="1:9" x14ac:dyDescent="0.15">
      <c r="A50" s="6">
        <v>46</v>
      </c>
      <c r="B50" s="7">
        <v>14.1</v>
      </c>
      <c r="C50" s="8">
        <v>43</v>
      </c>
      <c r="D50" s="9">
        <v>164.25</v>
      </c>
      <c r="E50" s="9">
        <v>73.25</v>
      </c>
      <c r="F50" s="7">
        <v>35.700000000000003</v>
      </c>
      <c r="G50" s="7">
        <v>81.5</v>
      </c>
      <c r="H50" s="7">
        <v>97.2</v>
      </c>
      <c r="I50" s="10">
        <v>58.4</v>
      </c>
    </row>
    <row r="51" spans="1:9" x14ac:dyDescent="0.15">
      <c r="A51" s="6">
        <v>47</v>
      </c>
      <c r="B51" s="7">
        <v>11.2</v>
      </c>
      <c r="C51" s="8">
        <v>40</v>
      </c>
      <c r="D51" s="9">
        <v>133.5</v>
      </c>
      <c r="E51" s="9">
        <v>67.5</v>
      </c>
      <c r="F51" s="7">
        <v>33.6</v>
      </c>
      <c r="G51" s="7">
        <v>73.7</v>
      </c>
      <c r="H51" s="7">
        <v>88.5</v>
      </c>
      <c r="I51" s="10">
        <v>53.3</v>
      </c>
    </row>
    <row r="52" spans="1:9" x14ac:dyDescent="0.15">
      <c r="A52" s="6">
        <v>48</v>
      </c>
      <c r="B52" s="7">
        <v>6.4</v>
      </c>
      <c r="C52" s="8">
        <v>39</v>
      </c>
      <c r="D52" s="9">
        <v>148.5</v>
      </c>
      <c r="E52" s="9">
        <v>71.25</v>
      </c>
      <c r="F52" s="7">
        <v>34.6</v>
      </c>
      <c r="G52" s="7">
        <v>79.5</v>
      </c>
      <c r="H52" s="7">
        <v>92.7</v>
      </c>
      <c r="I52" s="10">
        <v>52.7</v>
      </c>
    </row>
    <row r="53" spans="1:9" x14ac:dyDescent="0.15">
      <c r="A53" s="6">
        <v>49</v>
      </c>
      <c r="B53" s="7">
        <v>13.4</v>
      </c>
      <c r="C53" s="8">
        <v>45</v>
      </c>
      <c r="D53" s="9">
        <v>135.75</v>
      </c>
      <c r="E53" s="9">
        <v>68.5</v>
      </c>
      <c r="F53" s="7">
        <v>32.799999999999997</v>
      </c>
      <c r="G53" s="7">
        <v>83.4</v>
      </c>
      <c r="H53" s="7">
        <v>90.4</v>
      </c>
      <c r="I53" s="10">
        <v>52</v>
      </c>
    </row>
    <row r="54" spans="1:9" x14ac:dyDescent="0.15">
      <c r="A54" s="11">
        <v>50</v>
      </c>
      <c r="B54" s="12">
        <v>5</v>
      </c>
      <c r="C54" s="13">
        <v>47</v>
      </c>
      <c r="D54" s="14">
        <v>127.5</v>
      </c>
      <c r="E54" s="14">
        <v>66.75</v>
      </c>
      <c r="F54" s="12">
        <v>34</v>
      </c>
      <c r="G54" s="12">
        <v>70.400000000000006</v>
      </c>
      <c r="H54" s="12">
        <v>87.2</v>
      </c>
      <c r="I54" s="15">
        <v>50.6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F770-C6FC-7B48-A05A-7F8130D5FDE9}">
  <dimension ref="A2:R54"/>
  <sheetViews>
    <sheetView topLeftCell="I10" zoomScale="75" workbookViewId="0">
      <selection activeCell="K9" sqref="K9"/>
    </sheetView>
  </sheetViews>
  <sheetFormatPr baseColWidth="10" defaultColWidth="11.5" defaultRowHeight="13" x14ac:dyDescent="0.15"/>
  <cols>
    <col min="10" max="10" width="19.1640625" bestFit="1" customWidth="1"/>
    <col min="11" max="11" width="17.33203125" customWidth="1"/>
    <col min="12" max="12" width="17.5" customWidth="1"/>
    <col min="13" max="13" width="20.5" customWidth="1"/>
    <col min="14" max="14" width="19" customWidth="1"/>
    <col min="15" max="15" width="17.83203125" customWidth="1"/>
    <col min="16" max="16" width="21.5" customWidth="1"/>
    <col min="17" max="17" width="18.1640625" customWidth="1"/>
    <col min="18" max="18" width="17.6640625" customWidth="1"/>
  </cols>
  <sheetData>
    <row r="2" spans="1:15" ht="16" x14ac:dyDescent="0.2">
      <c r="A2" s="16" t="s">
        <v>0</v>
      </c>
    </row>
    <row r="4" spans="1:15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6</v>
      </c>
      <c r="F4" s="18" t="s">
        <v>8</v>
      </c>
      <c r="G4" s="18" t="s">
        <v>9</v>
      </c>
      <c r="H4" s="19" t="s">
        <v>10</v>
      </c>
      <c r="J4" t="s">
        <v>12</v>
      </c>
    </row>
    <row r="5" spans="1:15" ht="14" thickBot="1" x14ac:dyDescent="0.2">
      <c r="A5" s="1">
        <v>1</v>
      </c>
      <c r="B5" s="2">
        <v>12.6</v>
      </c>
      <c r="C5" s="3">
        <v>23</v>
      </c>
      <c r="D5" s="4">
        <v>154.25</v>
      </c>
      <c r="E5" s="2">
        <v>36.200000000000003</v>
      </c>
      <c r="F5" s="2">
        <v>85.2</v>
      </c>
      <c r="G5" s="2">
        <v>94.5</v>
      </c>
      <c r="H5" s="5">
        <v>59</v>
      </c>
    </row>
    <row r="6" spans="1:15" x14ac:dyDescent="0.15">
      <c r="A6" s="6">
        <v>2</v>
      </c>
      <c r="B6" s="7">
        <v>6.9</v>
      </c>
      <c r="C6" s="8">
        <v>22</v>
      </c>
      <c r="D6" s="9">
        <v>173.25</v>
      </c>
      <c r="E6" s="7">
        <v>38.5</v>
      </c>
      <c r="F6" s="7">
        <v>83</v>
      </c>
      <c r="G6" s="7">
        <v>98.7</v>
      </c>
      <c r="H6" s="10">
        <v>58.7</v>
      </c>
      <c r="J6" s="139" t="s">
        <v>14</v>
      </c>
      <c r="K6" s="139"/>
    </row>
    <row r="7" spans="1:15" x14ac:dyDescent="0.15">
      <c r="A7" s="6">
        <v>3</v>
      </c>
      <c r="B7" s="7">
        <v>24.6</v>
      </c>
      <c r="C7" s="8">
        <v>22</v>
      </c>
      <c r="D7" s="9">
        <v>154</v>
      </c>
      <c r="E7" s="7">
        <v>34</v>
      </c>
      <c r="F7" s="7">
        <v>87.9</v>
      </c>
      <c r="G7" s="7">
        <v>99.2</v>
      </c>
      <c r="H7" s="10">
        <v>59.6</v>
      </c>
      <c r="J7" t="s">
        <v>15</v>
      </c>
      <c r="K7">
        <v>0.91644076641191863</v>
      </c>
    </row>
    <row r="8" spans="1:15" x14ac:dyDescent="0.15">
      <c r="A8" s="6">
        <v>4</v>
      </c>
      <c r="B8" s="7">
        <v>10.9</v>
      </c>
      <c r="C8" s="8">
        <v>26</v>
      </c>
      <c r="D8" s="9">
        <v>184.75</v>
      </c>
      <c r="E8" s="7">
        <v>37.4</v>
      </c>
      <c r="F8" s="7">
        <v>86.4</v>
      </c>
      <c r="G8" s="7">
        <v>101.2</v>
      </c>
      <c r="H8" s="10">
        <v>60.1</v>
      </c>
      <c r="J8" t="s">
        <v>16</v>
      </c>
      <c r="K8">
        <v>0.83986367834166475</v>
      </c>
    </row>
    <row r="9" spans="1:15" x14ac:dyDescent="0.15">
      <c r="A9" s="6">
        <v>5</v>
      </c>
      <c r="B9" s="7">
        <v>27.8</v>
      </c>
      <c r="C9" s="8">
        <v>24</v>
      </c>
      <c r="D9" s="9">
        <v>184.25</v>
      </c>
      <c r="E9" s="7">
        <v>34.4</v>
      </c>
      <c r="F9" s="7">
        <v>100</v>
      </c>
      <c r="G9" s="7">
        <v>101.9</v>
      </c>
      <c r="H9" s="10">
        <v>63.2</v>
      </c>
      <c r="J9" t="s">
        <v>17</v>
      </c>
      <c r="K9" s="116">
        <v>0.81751907531957146</v>
      </c>
    </row>
    <row r="10" spans="1:15" x14ac:dyDescent="0.15">
      <c r="A10" s="6">
        <v>6</v>
      </c>
      <c r="B10" s="7">
        <v>20.6</v>
      </c>
      <c r="C10" s="8">
        <v>24</v>
      </c>
      <c r="D10" s="9">
        <v>210.25</v>
      </c>
      <c r="E10" s="7">
        <v>39</v>
      </c>
      <c r="F10" s="7">
        <v>94.4</v>
      </c>
      <c r="G10" s="7">
        <v>107.8</v>
      </c>
      <c r="H10" s="10">
        <v>66</v>
      </c>
      <c r="J10" t="s">
        <v>18</v>
      </c>
      <c r="K10">
        <v>3.8793314225361506</v>
      </c>
    </row>
    <row r="11" spans="1:15" ht="14" thickBot="1" x14ac:dyDescent="0.2">
      <c r="A11" s="6">
        <v>7</v>
      </c>
      <c r="B11" s="7">
        <v>19</v>
      </c>
      <c r="C11" s="8">
        <v>26</v>
      </c>
      <c r="D11" s="9">
        <v>181</v>
      </c>
      <c r="E11" s="7">
        <v>36.4</v>
      </c>
      <c r="F11" s="7">
        <v>90.7</v>
      </c>
      <c r="G11" s="7">
        <v>100.3</v>
      </c>
      <c r="H11" s="10">
        <v>58.4</v>
      </c>
      <c r="J11" s="137" t="s">
        <v>19</v>
      </c>
      <c r="K11" s="137">
        <v>50</v>
      </c>
    </row>
    <row r="12" spans="1:15" x14ac:dyDescent="0.15">
      <c r="A12" s="6">
        <v>8</v>
      </c>
      <c r="B12" s="7">
        <v>12.8</v>
      </c>
      <c r="C12" s="8">
        <v>25</v>
      </c>
      <c r="D12" s="9">
        <v>176</v>
      </c>
      <c r="E12" s="7">
        <v>37.799999999999997</v>
      </c>
      <c r="F12" s="7">
        <v>88.5</v>
      </c>
      <c r="G12" s="7">
        <v>97.1</v>
      </c>
      <c r="H12" s="10">
        <v>60</v>
      </c>
    </row>
    <row r="13" spans="1:15" ht="14" thickBot="1" x14ac:dyDescent="0.2">
      <c r="A13" s="6">
        <v>9</v>
      </c>
      <c r="B13" s="7">
        <v>5.0999999999999996</v>
      </c>
      <c r="C13" s="8">
        <v>25</v>
      </c>
      <c r="D13" s="9">
        <v>191</v>
      </c>
      <c r="E13" s="7">
        <v>38.1</v>
      </c>
      <c r="F13" s="7">
        <v>82.5</v>
      </c>
      <c r="G13" s="7">
        <v>99.9</v>
      </c>
      <c r="H13" s="10">
        <v>62.9</v>
      </c>
      <c r="J13" t="s">
        <v>20</v>
      </c>
    </row>
    <row r="14" spans="1:15" x14ac:dyDescent="0.15">
      <c r="A14" s="6">
        <v>10</v>
      </c>
      <c r="B14" s="7">
        <v>12</v>
      </c>
      <c r="C14" s="8">
        <v>23</v>
      </c>
      <c r="D14" s="9">
        <v>198.25</v>
      </c>
      <c r="E14" s="7">
        <v>42.1</v>
      </c>
      <c r="F14" s="7">
        <v>88.6</v>
      </c>
      <c r="G14" s="7">
        <v>104.1</v>
      </c>
      <c r="H14" s="10">
        <v>63.1</v>
      </c>
      <c r="J14" s="138"/>
      <c r="K14" s="138" t="s">
        <v>21</v>
      </c>
      <c r="L14" s="138" t="s">
        <v>22</v>
      </c>
      <c r="M14" s="138" t="s">
        <v>23</v>
      </c>
      <c r="N14" s="138" t="s">
        <v>24</v>
      </c>
      <c r="O14" s="138" t="s">
        <v>25</v>
      </c>
    </row>
    <row r="15" spans="1:15" x14ac:dyDescent="0.15">
      <c r="A15" s="6">
        <v>11</v>
      </c>
      <c r="B15" s="7">
        <v>7.5</v>
      </c>
      <c r="C15" s="8">
        <v>26</v>
      </c>
      <c r="D15" s="9">
        <v>186.25</v>
      </c>
      <c r="E15" s="7">
        <v>38.5</v>
      </c>
      <c r="F15" s="7">
        <v>83.6</v>
      </c>
      <c r="G15" s="7">
        <v>98.2</v>
      </c>
      <c r="H15" s="10">
        <v>59.7</v>
      </c>
      <c r="J15" t="s">
        <v>26</v>
      </c>
      <c r="K15">
        <v>6</v>
      </c>
      <c r="L15">
        <v>3393.9166717073172</v>
      </c>
      <c r="M15">
        <v>565.65277861788616</v>
      </c>
      <c r="N15">
        <v>37.586869523313837</v>
      </c>
      <c r="O15">
        <v>1.4946082085208442E-15</v>
      </c>
    </row>
    <row r="16" spans="1:15" x14ac:dyDescent="0.15">
      <c r="A16" s="6">
        <v>12</v>
      </c>
      <c r="B16" s="7">
        <v>8.5</v>
      </c>
      <c r="C16" s="8">
        <v>27</v>
      </c>
      <c r="D16" s="9">
        <v>216</v>
      </c>
      <c r="E16" s="7">
        <v>39.4</v>
      </c>
      <c r="F16" s="7">
        <v>90.9</v>
      </c>
      <c r="G16" s="7">
        <v>107.7</v>
      </c>
      <c r="H16" s="10">
        <v>66.2</v>
      </c>
      <c r="J16" t="s">
        <v>27</v>
      </c>
      <c r="K16">
        <v>43</v>
      </c>
      <c r="L16">
        <v>647.11612829268324</v>
      </c>
      <c r="M16">
        <v>15.049212285876354</v>
      </c>
    </row>
    <row r="17" spans="1:18" ht="14" thickBot="1" x14ac:dyDescent="0.2">
      <c r="A17" s="6">
        <v>13</v>
      </c>
      <c r="B17" s="7">
        <v>20.5</v>
      </c>
      <c r="C17" s="8">
        <v>32</v>
      </c>
      <c r="D17" s="9">
        <v>180.5</v>
      </c>
      <c r="E17" s="7">
        <v>38.4</v>
      </c>
      <c r="F17" s="7">
        <v>91.6</v>
      </c>
      <c r="G17" s="7">
        <v>103.9</v>
      </c>
      <c r="H17" s="10">
        <v>63.4</v>
      </c>
      <c r="J17" s="137" t="s">
        <v>28</v>
      </c>
      <c r="K17" s="137">
        <v>49</v>
      </c>
      <c r="L17" s="137">
        <v>4041.0328000000004</v>
      </c>
      <c r="M17" s="137"/>
      <c r="N17" s="137"/>
      <c r="O17" s="137"/>
    </row>
    <row r="18" spans="1:18" ht="14" thickBot="1" x14ac:dyDescent="0.2">
      <c r="A18" s="6">
        <v>14</v>
      </c>
      <c r="B18" s="7">
        <v>20.8</v>
      </c>
      <c r="C18" s="8">
        <v>30</v>
      </c>
      <c r="D18" s="9">
        <v>205.25</v>
      </c>
      <c r="E18" s="7">
        <v>39.4</v>
      </c>
      <c r="F18" s="7">
        <v>101.8</v>
      </c>
      <c r="G18" s="7">
        <v>108.6</v>
      </c>
      <c r="H18" s="10">
        <v>66</v>
      </c>
    </row>
    <row r="19" spans="1:18" x14ac:dyDescent="0.15">
      <c r="A19" s="6">
        <v>15</v>
      </c>
      <c r="B19" s="7">
        <v>21.7</v>
      </c>
      <c r="C19" s="8">
        <v>35</v>
      </c>
      <c r="D19" s="9">
        <v>187.75</v>
      </c>
      <c r="E19" s="7">
        <v>40.5</v>
      </c>
      <c r="F19" s="7">
        <v>96.4</v>
      </c>
      <c r="G19" s="7">
        <v>100.1</v>
      </c>
      <c r="H19" s="10">
        <v>69</v>
      </c>
      <c r="J19" s="138"/>
      <c r="K19" s="138" t="s">
        <v>29</v>
      </c>
      <c r="L19" s="138" t="s">
        <v>18</v>
      </c>
      <c r="M19" s="138" t="s">
        <v>30</v>
      </c>
      <c r="N19" s="138" t="s">
        <v>31</v>
      </c>
      <c r="O19" s="138" t="s">
        <v>32</v>
      </c>
      <c r="P19" s="138" t="s">
        <v>33</v>
      </c>
      <c r="Q19" s="138" t="s">
        <v>34</v>
      </c>
      <c r="R19" s="138" t="s">
        <v>35</v>
      </c>
    </row>
    <row r="20" spans="1:18" x14ac:dyDescent="0.15">
      <c r="A20" s="6">
        <v>16</v>
      </c>
      <c r="B20" s="7">
        <v>20.5</v>
      </c>
      <c r="C20" s="8">
        <v>35</v>
      </c>
      <c r="D20" s="9">
        <v>162.75</v>
      </c>
      <c r="E20" s="7">
        <v>36.4</v>
      </c>
      <c r="F20" s="7">
        <v>92.8</v>
      </c>
      <c r="G20" s="7">
        <v>99.2</v>
      </c>
      <c r="H20" s="10">
        <v>63.1</v>
      </c>
      <c r="J20" t="s">
        <v>36</v>
      </c>
      <c r="K20">
        <v>-43.117928193353947</v>
      </c>
      <c r="L20">
        <v>17.981763141113877</v>
      </c>
      <c r="M20">
        <v>-2.3978698782194621</v>
      </c>
      <c r="N20">
        <v>2.0903749886073502E-2</v>
      </c>
      <c r="O20">
        <v>-79.381609648400726</v>
      </c>
      <c r="P20">
        <v>-6.8542467383071628</v>
      </c>
      <c r="Q20">
        <v>-79.381609648400726</v>
      </c>
      <c r="R20">
        <v>-6.8542467383071628</v>
      </c>
    </row>
    <row r="21" spans="1:18" x14ac:dyDescent="0.15">
      <c r="A21" s="6">
        <v>17</v>
      </c>
      <c r="B21" s="7">
        <v>28.1</v>
      </c>
      <c r="C21" s="8">
        <v>34</v>
      </c>
      <c r="D21" s="9">
        <v>195.75</v>
      </c>
      <c r="E21" s="7">
        <v>38.9</v>
      </c>
      <c r="F21" s="7">
        <v>96.4</v>
      </c>
      <c r="G21" s="7">
        <v>105.2</v>
      </c>
      <c r="H21" s="10">
        <v>64.8</v>
      </c>
      <c r="J21" t="s">
        <v>3</v>
      </c>
      <c r="K21">
        <v>0.10437826307672773</v>
      </c>
      <c r="L21">
        <v>8.2579271769725501E-2</v>
      </c>
      <c r="M21">
        <v>1.2639765505294029</v>
      </c>
      <c r="N21">
        <v>0.2130476647187578</v>
      </c>
      <c r="O21">
        <v>-6.2158710119192218E-2</v>
      </c>
      <c r="P21">
        <v>0.27091523627264769</v>
      </c>
      <c r="Q21">
        <v>-6.2158710119192218E-2</v>
      </c>
      <c r="R21">
        <v>0.27091523627264769</v>
      </c>
    </row>
    <row r="22" spans="1:18" x14ac:dyDescent="0.15">
      <c r="A22" s="6">
        <v>18</v>
      </c>
      <c r="B22" s="7">
        <v>22.4</v>
      </c>
      <c r="C22" s="8">
        <v>32</v>
      </c>
      <c r="D22" s="9">
        <v>209.25</v>
      </c>
      <c r="E22" s="7">
        <v>42.1</v>
      </c>
      <c r="F22" s="7">
        <v>97.5</v>
      </c>
      <c r="G22" s="7">
        <v>107</v>
      </c>
      <c r="H22" s="10">
        <v>66.900000000000006</v>
      </c>
      <c r="J22" t="s">
        <v>4</v>
      </c>
      <c r="K22">
        <v>-0.21110382495924179</v>
      </c>
      <c r="L22">
        <v>6.7059214277175316E-2</v>
      </c>
      <c r="M22">
        <v>-3.1480211516748176</v>
      </c>
      <c r="N22">
        <v>2.9850227080251007E-3</v>
      </c>
      <c r="O22">
        <v>-0.34634161927836843</v>
      </c>
      <c r="P22">
        <v>-7.5866030640115156E-2</v>
      </c>
      <c r="Q22">
        <v>-0.34634161927836843</v>
      </c>
      <c r="R22">
        <v>-7.5866030640115156E-2</v>
      </c>
    </row>
    <row r="23" spans="1:18" x14ac:dyDescent="0.15">
      <c r="A23" s="6">
        <v>19</v>
      </c>
      <c r="B23" s="7">
        <v>16.100000000000001</v>
      </c>
      <c r="C23" s="8">
        <v>28</v>
      </c>
      <c r="D23" s="9">
        <v>183.75</v>
      </c>
      <c r="E23" s="7">
        <v>38</v>
      </c>
      <c r="F23" s="7">
        <v>89.6</v>
      </c>
      <c r="G23" s="7">
        <v>102.4</v>
      </c>
      <c r="H23" s="10">
        <v>64.2</v>
      </c>
      <c r="J23" s="141" t="s">
        <v>6</v>
      </c>
      <c r="K23">
        <v>-0.34098136543240309</v>
      </c>
      <c r="L23">
        <v>0.3825047665035271</v>
      </c>
      <c r="M23">
        <v>-0.8914434414747584</v>
      </c>
      <c r="N23" s="141">
        <v>0.37765256169947581</v>
      </c>
      <c r="O23">
        <v>-1.1123757442075268</v>
      </c>
      <c r="P23">
        <v>0.43041301334272059</v>
      </c>
      <c r="Q23">
        <v>-1.1123757442075268</v>
      </c>
      <c r="R23">
        <v>0.43041301334272059</v>
      </c>
    </row>
    <row r="24" spans="1:18" x14ac:dyDescent="0.15">
      <c r="A24" s="6">
        <v>20</v>
      </c>
      <c r="B24" s="7">
        <v>16.5</v>
      </c>
      <c r="C24" s="8">
        <v>33</v>
      </c>
      <c r="D24" s="9">
        <v>211.75</v>
      </c>
      <c r="E24" s="7">
        <v>40</v>
      </c>
      <c r="F24" s="7">
        <v>100.5</v>
      </c>
      <c r="G24" s="7">
        <v>109</v>
      </c>
      <c r="H24" s="10">
        <v>65.8</v>
      </c>
      <c r="J24" t="s">
        <v>8</v>
      </c>
      <c r="K24">
        <v>0.92202541342452515</v>
      </c>
      <c r="L24">
        <v>0.13253016774368168</v>
      </c>
      <c r="M24">
        <v>6.9570983657679886</v>
      </c>
      <c r="N24">
        <v>1.4846665646373145E-8</v>
      </c>
      <c r="O24">
        <v>0.65475285797348726</v>
      </c>
      <c r="P24">
        <v>1.1892979688755632</v>
      </c>
      <c r="Q24">
        <v>0.65475285797348726</v>
      </c>
      <c r="R24">
        <v>1.1892979688755632</v>
      </c>
    </row>
    <row r="25" spans="1:18" x14ac:dyDescent="0.15">
      <c r="A25" s="6">
        <v>21</v>
      </c>
      <c r="B25" s="7">
        <v>19</v>
      </c>
      <c r="C25" s="8">
        <v>28</v>
      </c>
      <c r="D25" s="9">
        <v>179</v>
      </c>
      <c r="E25" s="7">
        <v>39.1</v>
      </c>
      <c r="F25" s="7">
        <v>95.9</v>
      </c>
      <c r="G25" s="7">
        <v>104.9</v>
      </c>
      <c r="H25" s="10">
        <v>63.5</v>
      </c>
      <c r="J25" t="s">
        <v>9</v>
      </c>
      <c r="K25">
        <v>-0.2592121789434193</v>
      </c>
      <c r="L25">
        <v>0.2544419945082006</v>
      </c>
      <c r="M25">
        <v>-1.0187476302582785</v>
      </c>
      <c r="N25">
        <v>0.31402065641493132</v>
      </c>
      <c r="O25">
        <v>-0.77234336442407647</v>
      </c>
      <c r="P25">
        <v>0.25391900653723787</v>
      </c>
      <c r="Q25">
        <v>-0.77234336442407647</v>
      </c>
      <c r="R25">
        <v>0.25391900653723787</v>
      </c>
    </row>
    <row r="26" spans="1:18" ht="14" thickBot="1" x14ac:dyDescent="0.2">
      <c r="A26" s="6">
        <v>22</v>
      </c>
      <c r="B26" s="7">
        <v>15.3</v>
      </c>
      <c r="C26" s="8">
        <v>28</v>
      </c>
      <c r="D26" s="9">
        <v>200.5</v>
      </c>
      <c r="E26" s="7">
        <v>41.3</v>
      </c>
      <c r="F26" s="7">
        <v>98.8</v>
      </c>
      <c r="G26" s="7">
        <v>104.8</v>
      </c>
      <c r="H26" s="10">
        <v>63.4</v>
      </c>
      <c r="J26" s="137" t="s">
        <v>10</v>
      </c>
      <c r="K26" s="137">
        <v>0.82262453567664107</v>
      </c>
      <c r="L26" s="137">
        <v>0.26559414484220806</v>
      </c>
      <c r="M26" s="137">
        <v>3.0972992125461571</v>
      </c>
      <c r="N26" s="137">
        <v>3.4339044654155006E-3</v>
      </c>
      <c r="O26" s="137">
        <v>0.28700289561277503</v>
      </c>
      <c r="P26" s="137">
        <v>1.3582461757405071</v>
      </c>
      <c r="Q26" s="137">
        <v>0.28700289561277503</v>
      </c>
      <c r="R26" s="137">
        <v>1.3582461757405071</v>
      </c>
    </row>
    <row r="27" spans="1:18" x14ac:dyDescent="0.15">
      <c r="A27" s="6">
        <v>23</v>
      </c>
      <c r="B27" s="7">
        <v>15.7</v>
      </c>
      <c r="C27" s="8">
        <v>31</v>
      </c>
      <c r="D27" s="9">
        <v>140.25</v>
      </c>
      <c r="E27" s="7">
        <v>33.9</v>
      </c>
      <c r="F27" s="7">
        <v>76.400000000000006</v>
      </c>
      <c r="G27" s="7">
        <v>94.6</v>
      </c>
      <c r="H27" s="10">
        <v>57.4</v>
      </c>
    </row>
    <row r="28" spans="1:18" x14ac:dyDescent="0.15">
      <c r="A28" s="6">
        <v>24</v>
      </c>
      <c r="B28" s="7">
        <v>17.600000000000001</v>
      </c>
      <c r="C28" s="8">
        <v>32</v>
      </c>
      <c r="D28" s="9">
        <v>148.75</v>
      </c>
      <c r="E28" s="7">
        <v>35.5</v>
      </c>
      <c r="F28" s="7">
        <v>80</v>
      </c>
      <c r="G28" s="7">
        <v>93.4</v>
      </c>
      <c r="H28" s="10">
        <v>54.9</v>
      </c>
    </row>
    <row r="29" spans="1:18" x14ac:dyDescent="0.15">
      <c r="A29" s="6">
        <v>25</v>
      </c>
      <c r="B29" s="7">
        <v>14.2</v>
      </c>
      <c r="C29" s="8">
        <v>28</v>
      </c>
      <c r="D29" s="9">
        <v>151.25</v>
      </c>
      <c r="E29" s="7">
        <v>34.5</v>
      </c>
      <c r="F29" s="7">
        <v>76.3</v>
      </c>
      <c r="G29" s="7">
        <v>95.8</v>
      </c>
      <c r="H29" s="10">
        <v>58.4</v>
      </c>
      <c r="J29" s="144" t="s">
        <v>62</v>
      </c>
    </row>
    <row r="30" spans="1:18" x14ac:dyDescent="0.15">
      <c r="A30" s="6">
        <v>26</v>
      </c>
      <c r="B30" s="7">
        <v>4.5999999999999996</v>
      </c>
      <c r="C30" s="8">
        <v>27</v>
      </c>
      <c r="D30" s="9">
        <v>159.25</v>
      </c>
      <c r="E30" s="7">
        <v>35.700000000000003</v>
      </c>
      <c r="F30" s="7">
        <v>79.7</v>
      </c>
      <c r="G30" s="7">
        <v>96.5</v>
      </c>
      <c r="H30" s="10">
        <v>55</v>
      </c>
    </row>
    <row r="31" spans="1:18" x14ac:dyDescent="0.15">
      <c r="A31" s="6">
        <v>27</v>
      </c>
      <c r="B31" s="7">
        <v>8.5</v>
      </c>
      <c r="C31" s="8">
        <v>34</v>
      </c>
      <c r="D31" s="9">
        <v>131.5</v>
      </c>
      <c r="E31" s="7">
        <v>36.200000000000003</v>
      </c>
      <c r="F31" s="7">
        <v>74.599999999999994</v>
      </c>
      <c r="G31" s="7">
        <v>85.3</v>
      </c>
      <c r="H31" s="10">
        <v>51.7</v>
      </c>
    </row>
    <row r="32" spans="1:18" x14ac:dyDescent="0.15">
      <c r="A32" s="6">
        <v>28</v>
      </c>
      <c r="B32" s="7">
        <v>22.4</v>
      </c>
      <c r="C32" s="8">
        <v>31</v>
      </c>
      <c r="D32" s="9">
        <v>148</v>
      </c>
      <c r="E32" s="7">
        <v>38.799999999999997</v>
      </c>
      <c r="F32" s="7">
        <v>88.7</v>
      </c>
      <c r="G32" s="7">
        <v>94.7</v>
      </c>
      <c r="H32" s="10">
        <v>57.5</v>
      </c>
    </row>
    <row r="33" spans="1:8" x14ac:dyDescent="0.15">
      <c r="A33" s="6">
        <v>29</v>
      </c>
      <c r="B33" s="7">
        <v>4.7</v>
      </c>
      <c r="C33" s="8">
        <v>27</v>
      </c>
      <c r="D33" s="9">
        <v>133.25</v>
      </c>
      <c r="E33" s="7">
        <v>36.4</v>
      </c>
      <c r="F33" s="7">
        <v>73.900000000000006</v>
      </c>
      <c r="G33" s="7">
        <v>88.5</v>
      </c>
      <c r="H33" s="10">
        <v>50.1</v>
      </c>
    </row>
    <row r="34" spans="1:8" x14ac:dyDescent="0.15">
      <c r="A34" s="6">
        <v>30</v>
      </c>
      <c r="B34" s="7">
        <v>9.4</v>
      </c>
      <c r="C34" s="8">
        <v>29</v>
      </c>
      <c r="D34" s="9">
        <v>160.75</v>
      </c>
      <c r="E34" s="7">
        <v>36.700000000000003</v>
      </c>
      <c r="F34" s="7">
        <v>83.5</v>
      </c>
      <c r="G34" s="7">
        <v>98.7</v>
      </c>
      <c r="H34" s="10">
        <v>58.9</v>
      </c>
    </row>
    <row r="35" spans="1:8" x14ac:dyDescent="0.15">
      <c r="A35" s="6">
        <v>31</v>
      </c>
      <c r="B35" s="7">
        <v>12.3</v>
      </c>
      <c r="C35" s="8">
        <v>32</v>
      </c>
      <c r="D35" s="9">
        <v>182</v>
      </c>
      <c r="E35" s="7">
        <v>38.700000000000003</v>
      </c>
      <c r="F35" s="7">
        <v>88.7</v>
      </c>
      <c r="G35" s="7">
        <v>99.8</v>
      </c>
      <c r="H35" s="10">
        <v>57.5</v>
      </c>
    </row>
    <row r="36" spans="1:8" x14ac:dyDescent="0.15">
      <c r="A36" s="6">
        <v>32</v>
      </c>
      <c r="B36" s="7">
        <v>6.5</v>
      </c>
      <c r="C36" s="8">
        <v>29</v>
      </c>
      <c r="D36" s="9">
        <v>160.25</v>
      </c>
      <c r="E36" s="7">
        <v>37.299999999999997</v>
      </c>
      <c r="F36" s="7">
        <v>84.5</v>
      </c>
      <c r="G36" s="7">
        <v>100.6</v>
      </c>
      <c r="H36" s="10">
        <v>58.5</v>
      </c>
    </row>
    <row r="37" spans="1:8" x14ac:dyDescent="0.15">
      <c r="A37" s="6">
        <v>33</v>
      </c>
      <c r="B37" s="7">
        <v>13.4</v>
      </c>
      <c r="C37" s="8">
        <v>27</v>
      </c>
      <c r="D37" s="9">
        <v>168</v>
      </c>
      <c r="E37" s="7">
        <v>38.1</v>
      </c>
      <c r="F37" s="7">
        <v>79.099999999999994</v>
      </c>
      <c r="G37" s="7">
        <v>94.5</v>
      </c>
      <c r="H37" s="10">
        <v>57.3</v>
      </c>
    </row>
    <row r="38" spans="1:8" x14ac:dyDescent="0.15">
      <c r="A38" s="6">
        <v>34</v>
      </c>
      <c r="B38" s="7">
        <v>20.9</v>
      </c>
      <c r="C38" s="8">
        <v>41</v>
      </c>
      <c r="D38" s="9">
        <v>218.5</v>
      </c>
      <c r="E38" s="7">
        <v>39.799999999999997</v>
      </c>
      <c r="F38" s="7">
        <v>100.5</v>
      </c>
      <c r="G38" s="7">
        <v>108.3</v>
      </c>
      <c r="H38" s="10">
        <v>67.099999999999994</v>
      </c>
    </row>
    <row r="39" spans="1:8" x14ac:dyDescent="0.15">
      <c r="A39" s="6">
        <v>35</v>
      </c>
      <c r="B39" s="7">
        <v>31.1</v>
      </c>
      <c r="C39" s="8">
        <v>41</v>
      </c>
      <c r="D39" s="9">
        <v>247.25</v>
      </c>
      <c r="E39" s="7">
        <v>42.1</v>
      </c>
      <c r="F39" s="7">
        <v>115.6</v>
      </c>
      <c r="G39" s="7">
        <v>116.1</v>
      </c>
      <c r="H39" s="10">
        <v>71.2</v>
      </c>
    </row>
    <row r="40" spans="1:8" x14ac:dyDescent="0.15">
      <c r="A40" s="6">
        <v>36</v>
      </c>
      <c r="B40" s="7">
        <v>38.200000000000003</v>
      </c>
      <c r="C40" s="8">
        <v>49</v>
      </c>
      <c r="D40" s="9">
        <v>191.75</v>
      </c>
      <c r="E40" s="7">
        <v>38.4</v>
      </c>
      <c r="F40" s="7">
        <v>113.1</v>
      </c>
      <c r="G40" s="7">
        <v>113.8</v>
      </c>
      <c r="H40" s="10">
        <v>61.9</v>
      </c>
    </row>
    <row r="41" spans="1:8" x14ac:dyDescent="0.15">
      <c r="A41" s="6">
        <v>37</v>
      </c>
      <c r="B41" s="7">
        <v>23.6</v>
      </c>
      <c r="C41" s="8">
        <v>40</v>
      </c>
      <c r="D41" s="9">
        <v>202.25</v>
      </c>
      <c r="E41" s="7">
        <v>38.5</v>
      </c>
      <c r="F41" s="7">
        <v>100.9</v>
      </c>
      <c r="G41" s="7">
        <v>106.2</v>
      </c>
      <c r="H41" s="10">
        <v>63.5</v>
      </c>
    </row>
    <row r="42" spans="1:8" x14ac:dyDescent="0.15">
      <c r="A42" s="6">
        <v>38</v>
      </c>
      <c r="B42" s="7">
        <v>27.5</v>
      </c>
      <c r="C42" s="8">
        <v>50</v>
      </c>
      <c r="D42" s="9">
        <v>196.75</v>
      </c>
      <c r="E42" s="7">
        <v>42.1</v>
      </c>
      <c r="F42" s="7">
        <v>98.8</v>
      </c>
      <c r="G42" s="7">
        <v>104.8</v>
      </c>
      <c r="H42" s="10">
        <v>66</v>
      </c>
    </row>
    <row r="43" spans="1:8" x14ac:dyDescent="0.15">
      <c r="A43" s="6">
        <v>39</v>
      </c>
      <c r="B43" s="7">
        <v>33.799999999999997</v>
      </c>
      <c r="C43" s="8">
        <v>46</v>
      </c>
      <c r="D43" s="9">
        <v>363.15</v>
      </c>
      <c r="E43" s="7">
        <v>51.2</v>
      </c>
      <c r="F43" s="7">
        <v>148.1</v>
      </c>
      <c r="G43" s="7">
        <v>147.69999999999999</v>
      </c>
      <c r="H43" s="10">
        <v>87.3</v>
      </c>
    </row>
    <row r="44" spans="1:8" x14ac:dyDescent="0.15">
      <c r="A44" s="6">
        <v>40</v>
      </c>
      <c r="B44" s="7">
        <v>31.3</v>
      </c>
      <c r="C44" s="8">
        <v>50</v>
      </c>
      <c r="D44" s="9">
        <v>203</v>
      </c>
      <c r="E44" s="7">
        <v>40.200000000000003</v>
      </c>
      <c r="F44" s="7">
        <v>108.1</v>
      </c>
      <c r="G44" s="7">
        <v>102.5</v>
      </c>
      <c r="H44" s="10">
        <v>61.3</v>
      </c>
    </row>
    <row r="45" spans="1:8" x14ac:dyDescent="0.15">
      <c r="A45" s="6">
        <v>41</v>
      </c>
      <c r="B45" s="7">
        <v>33.1</v>
      </c>
      <c r="C45" s="8">
        <v>45</v>
      </c>
      <c r="D45" s="9">
        <v>262.75</v>
      </c>
      <c r="E45" s="7">
        <v>43.2</v>
      </c>
      <c r="F45" s="7">
        <v>126.2</v>
      </c>
      <c r="G45" s="7">
        <v>125.6</v>
      </c>
      <c r="H45" s="10">
        <v>72.5</v>
      </c>
    </row>
    <row r="46" spans="1:8" x14ac:dyDescent="0.15">
      <c r="A46" s="6">
        <v>42</v>
      </c>
      <c r="B46" s="7">
        <v>31.7</v>
      </c>
      <c r="C46" s="8">
        <v>44</v>
      </c>
      <c r="D46" s="9">
        <v>205</v>
      </c>
      <c r="E46" s="7">
        <v>36.6</v>
      </c>
      <c r="F46" s="7">
        <v>104.3</v>
      </c>
      <c r="G46" s="7">
        <v>115.5</v>
      </c>
      <c r="H46" s="10">
        <v>70.599999999999994</v>
      </c>
    </row>
    <row r="47" spans="1:8" x14ac:dyDescent="0.15">
      <c r="A47" s="6">
        <v>43</v>
      </c>
      <c r="B47" s="7">
        <v>30.4</v>
      </c>
      <c r="C47" s="8">
        <v>48</v>
      </c>
      <c r="D47" s="9">
        <v>217</v>
      </c>
      <c r="E47" s="7">
        <v>37.299999999999997</v>
      </c>
      <c r="F47" s="7">
        <v>111.2</v>
      </c>
      <c r="G47" s="7">
        <v>114.1</v>
      </c>
      <c r="H47" s="10">
        <v>67.7</v>
      </c>
    </row>
    <row r="48" spans="1:8" x14ac:dyDescent="0.15">
      <c r="A48" s="6">
        <v>44</v>
      </c>
      <c r="B48" s="7">
        <v>30.8</v>
      </c>
      <c r="C48" s="8">
        <v>41</v>
      </c>
      <c r="D48" s="9">
        <v>212</v>
      </c>
      <c r="E48" s="7">
        <v>41.5</v>
      </c>
      <c r="F48" s="7">
        <v>104.3</v>
      </c>
      <c r="G48" s="7">
        <v>106</v>
      </c>
      <c r="H48" s="10">
        <v>65</v>
      </c>
    </row>
    <row r="49" spans="1:8" x14ac:dyDescent="0.15">
      <c r="A49" s="6">
        <v>45</v>
      </c>
      <c r="B49" s="7">
        <v>8.4</v>
      </c>
      <c r="C49" s="8">
        <v>39</v>
      </c>
      <c r="D49" s="9">
        <v>125.25</v>
      </c>
      <c r="E49" s="7">
        <v>31.5</v>
      </c>
      <c r="F49" s="7">
        <v>76</v>
      </c>
      <c r="G49" s="7">
        <v>88.2</v>
      </c>
      <c r="H49" s="10">
        <v>50</v>
      </c>
    </row>
    <row r="50" spans="1:8" x14ac:dyDescent="0.15">
      <c r="A50" s="6">
        <v>46</v>
      </c>
      <c r="B50" s="7">
        <v>14.1</v>
      </c>
      <c r="C50" s="8">
        <v>43</v>
      </c>
      <c r="D50" s="9">
        <v>164.25</v>
      </c>
      <c r="E50" s="7">
        <v>35.700000000000003</v>
      </c>
      <c r="F50" s="7">
        <v>81.5</v>
      </c>
      <c r="G50" s="7">
        <v>97.2</v>
      </c>
      <c r="H50" s="10">
        <v>58.4</v>
      </c>
    </row>
    <row r="51" spans="1:8" x14ac:dyDescent="0.15">
      <c r="A51" s="6">
        <v>47</v>
      </c>
      <c r="B51" s="7">
        <v>11.2</v>
      </c>
      <c r="C51" s="8">
        <v>40</v>
      </c>
      <c r="D51" s="9">
        <v>133.5</v>
      </c>
      <c r="E51" s="7">
        <v>33.6</v>
      </c>
      <c r="F51" s="7">
        <v>73.7</v>
      </c>
      <c r="G51" s="7">
        <v>88.5</v>
      </c>
      <c r="H51" s="10">
        <v>53.3</v>
      </c>
    </row>
    <row r="52" spans="1:8" x14ac:dyDescent="0.15">
      <c r="A52" s="6">
        <v>48</v>
      </c>
      <c r="B52" s="7">
        <v>6.4</v>
      </c>
      <c r="C52" s="8">
        <v>39</v>
      </c>
      <c r="D52" s="9">
        <v>148.5</v>
      </c>
      <c r="E52" s="7">
        <v>34.6</v>
      </c>
      <c r="F52" s="7">
        <v>79.5</v>
      </c>
      <c r="G52" s="7">
        <v>92.7</v>
      </c>
      <c r="H52" s="10">
        <v>52.7</v>
      </c>
    </row>
    <row r="53" spans="1:8" x14ac:dyDescent="0.15">
      <c r="A53" s="6">
        <v>49</v>
      </c>
      <c r="B53" s="7">
        <v>13.4</v>
      </c>
      <c r="C53" s="8">
        <v>45</v>
      </c>
      <c r="D53" s="9">
        <v>135.75</v>
      </c>
      <c r="E53" s="7">
        <v>32.799999999999997</v>
      </c>
      <c r="F53" s="7">
        <v>83.4</v>
      </c>
      <c r="G53" s="7">
        <v>90.4</v>
      </c>
      <c r="H53" s="10">
        <v>52</v>
      </c>
    </row>
    <row r="54" spans="1:8" x14ac:dyDescent="0.15">
      <c r="A54" s="11">
        <v>50</v>
      </c>
      <c r="B54" s="12">
        <v>5</v>
      </c>
      <c r="C54" s="13">
        <v>47</v>
      </c>
      <c r="D54" s="14">
        <v>127.5</v>
      </c>
      <c r="E54" s="12">
        <v>34</v>
      </c>
      <c r="F54" s="12">
        <v>70.400000000000006</v>
      </c>
      <c r="G54" s="12">
        <v>87.2</v>
      </c>
      <c r="H54" s="15">
        <v>50.6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C73C-0A2E-404B-AB3D-AD3191243204}">
  <dimension ref="A2:Q54"/>
  <sheetViews>
    <sheetView topLeftCell="H1" workbookViewId="0">
      <selection activeCell="J9" sqref="J9"/>
    </sheetView>
  </sheetViews>
  <sheetFormatPr baseColWidth="10" defaultColWidth="11.5" defaultRowHeight="13" x14ac:dyDescent="0.15"/>
  <cols>
    <col min="9" max="9" width="19.1640625" bestFit="1" customWidth="1"/>
    <col min="10" max="10" width="18" customWidth="1"/>
    <col min="11" max="11" width="17.5" customWidth="1"/>
    <col min="12" max="12" width="17" customWidth="1"/>
    <col min="13" max="13" width="14.6640625" customWidth="1"/>
    <col min="14" max="14" width="16.5" customWidth="1"/>
    <col min="15" max="15" width="15.33203125" customWidth="1"/>
    <col min="16" max="16" width="17.5" customWidth="1"/>
    <col min="17" max="17" width="22.33203125" customWidth="1"/>
  </cols>
  <sheetData>
    <row r="2" spans="1:14" ht="16" x14ac:dyDescent="0.2">
      <c r="A2" s="16" t="s">
        <v>0</v>
      </c>
    </row>
    <row r="4" spans="1:14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8</v>
      </c>
      <c r="F4" s="18" t="s">
        <v>9</v>
      </c>
      <c r="G4" s="19" t="s">
        <v>10</v>
      </c>
      <c r="I4" t="s">
        <v>12</v>
      </c>
    </row>
    <row r="5" spans="1:14" ht="14" thickBot="1" x14ac:dyDescent="0.2">
      <c r="A5" s="1">
        <v>1</v>
      </c>
      <c r="B5" s="2">
        <v>12.6</v>
      </c>
      <c r="C5" s="3">
        <v>23</v>
      </c>
      <c r="D5" s="4">
        <v>154.25</v>
      </c>
      <c r="E5" s="2">
        <v>85.2</v>
      </c>
      <c r="F5" s="2">
        <v>94.5</v>
      </c>
      <c r="G5" s="5">
        <v>59</v>
      </c>
    </row>
    <row r="6" spans="1:14" x14ac:dyDescent="0.15">
      <c r="A6" s="6">
        <v>2</v>
      </c>
      <c r="B6" s="7">
        <v>6.9</v>
      </c>
      <c r="C6" s="8">
        <v>22</v>
      </c>
      <c r="D6" s="9">
        <v>173.25</v>
      </c>
      <c r="E6" s="7">
        <v>83</v>
      </c>
      <c r="F6" s="7">
        <v>98.7</v>
      </c>
      <c r="G6" s="10">
        <v>58.7</v>
      </c>
      <c r="I6" s="139" t="s">
        <v>14</v>
      </c>
      <c r="J6" s="139"/>
    </row>
    <row r="7" spans="1:14" x14ac:dyDescent="0.15">
      <c r="A7" s="6">
        <v>3</v>
      </c>
      <c r="B7" s="7">
        <v>24.6</v>
      </c>
      <c r="C7" s="8">
        <v>22</v>
      </c>
      <c r="D7" s="9">
        <v>154</v>
      </c>
      <c r="E7" s="7">
        <v>87.9</v>
      </c>
      <c r="F7" s="7">
        <v>99.2</v>
      </c>
      <c r="G7" s="10">
        <v>59.6</v>
      </c>
      <c r="I7" t="s">
        <v>15</v>
      </c>
      <c r="J7">
        <v>0.91482470569276209</v>
      </c>
    </row>
    <row r="8" spans="1:14" x14ac:dyDescent="0.15">
      <c r="A8" s="6">
        <v>4</v>
      </c>
      <c r="B8" s="7">
        <v>10.9</v>
      </c>
      <c r="C8" s="8">
        <v>26</v>
      </c>
      <c r="D8" s="9">
        <v>184.75</v>
      </c>
      <c r="E8" s="7">
        <v>86.4</v>
      </c>
      <c r="F8" s="7">
        <v>101.2</v>
      </c>
      <c r="G8" s="10">
        <v>60.1</v>
      </c>
      <c r="I8" t="s">
        <v>16</v>
      </c>
      <c r="J8">
        <v>0.83690424214584869</v>
      </c>
    </row>
    <row r="9" spans="1:14" x14ac:dyDescent="0.15">
      <c r="A9" s="6">
        <v>5</v>
      </c>
      <c r="B9" s="7">
        <v>27.8</v>
      </c>
      <c r="C9" s="8">
        <v>24</v>
      </c>
      <c r="D9" s="9">
        <v>184.25</v>
      </c>
      <c r="E9" s="7">
        <v>100</v>
      </c>
      <c r="F9" s="7">
        <v>101.9</v>
      </c>
      <c r="G9" s="10">
        <v>63.2</v>
      </c>
      <c r="I9" t="s">
        <v>17</v>
      </c>
      <c r="J9" s="116">
        <v>0.81837063329878601</v>
      </c>
    </row>
    <row r="10" spans="1:14" x14ac:dyDescent="0.15">
      <c r="A10" s="6">
        <v>6</v>
      </c>
      <c r="B10" s="7">
        <v>20.6</v>
      </c>
      <c r="C10" s="8">
        <v>24</v>
      </c>
      <c r="D10" s="9">
        <v>210.25</v>
      </c>
      <c r="E10" s="7">
        <v>94.4</v>
      </c>
      <c r="F10" s="7">
        <v>107.8</v>
      </c>
      <c r="G10" s="10">
        <v>66</v>
      </c>
      <c r="I10" t="s">
        <v>18</v>
      </c>
      <c r="J10">
        <v>3.8702692736643103</v>
      </c>
    </row>
    <row r="11" spans="1:14" ht="14" thickBot="1" x14ac:dyDescent="0.2">
      <c r="A11" s="6">
        <v>7</v>
      </c>
      <c r="B11" s="7">
        <v>19</v>
      </c>
      <c r="C11" s="8">
        <v>26</v>
      </c>
      <c r="D11" s="9">
        <v>181</v>
      </c>
      <c r="E11" s="7">
        <v>90.7</v>
      </c>
      <c r="F11" s="7">
        <v>100.3</v>
      </c>
      <c r="G11" s="10">
        <v>58.4</v>
      </c>
      <c r="I11" s="137" t="s">
        <v>19</v>
      </c>
      <c r="J11" s="137">
        <v>50</v>
      </c>
    </row>
    <row r="12" spans="1:14" x14ac:dyDescent="0.15">
      <c r="A12" s="6">
        <v>8</v>
      </c>
      <c r="B12" s="7">
        <v>12.8</v>
      </c>
      <c r="C12" s="8">
        <v>25</v>
      </c>
      <c r="D12" s="9">
        <v>176</v>
      </c>
      <c r="E12" s="7">
        <v>88.5</v>
      </c>
      <c r="F12" s="7">
        <v>97.1</v>
      </c>
      <c r="G12" s="10">
        <v>60</v>
      </c>
    </row>
    <row r="13" spans="1:14" ht="14" thickBot="1" x14ac:dyDescent="0.2">
      <c r="A13" s="6">
        <v>9</v>
      </c>
      <c r="B13" s="7">
        <v>5.0999999999999996</v>
      </c>
      <c r="C13" s="8">
        <v>25</v>
      </c>
      <c r="D13" s="9">
        <v>191</v>
      </c>
      <c r="E13" s="7">
        <v>82.5</v>
      </c>
      <c r="F13" s="7">
        <v>99.9</v>
      </c>
      <c r="G13" s="10">
        <v>62.9</v>
      </c>
      <c r="I13" t="s">
        <v>20</v>
      </c>
    </row>
    <row r="14" spans="1:14" x14ac:dyDescent="0.15">
      <c r="A14" s="6">
        <v>10</v>
      </c>
      <c r="B14" s="7">
        <v>12</v>
      </c>
      <c r="C14" s="8">
        <v>23</v>
      </c>
      <c r="D14" s="9">
        <v>198.25</v>
      </c>
      <c r="E14" s="7">
        <v>88.6</v>
      </c>
      <c r="F14" s="7">
        <v>104.1</v>
      </c>
      <c r="G14" s="10">
        <v>63.1</v>
      </c>
      <c r="I14" s="138"/>
      <c r="J14" s="138" t="s">
        <v>21</v>
      </c>
      <c r="K14" s="138" t="s">
        <v>22</v>
      </c>
      <c r="L14" s="138" t="s">
        <v>23</v>
      </c>
      <c r="M14" s="138" t="s">
        <v>24</v>
      </c>
      <c r="N14" s="138" t="s">
        <v>25</v>
      </c>
    </row>
    <row r="15" spans="1:14" x14ac:dyDescent="0.15">
      <c r="A15" s="6">
        <v>11</v>
      </c>
      <c r="B15" s="7">
        <v>7.5</v>
      </c>
      <c r="C15" s="8">
        <v>26</v>
      </c>
      <c r="D15" s="9">
        <v>186.25</v>
      </c>
      <c r="E15" s="7">
        <v>83.6</v>
      </c>
      <c r="F15" s="7">
        <v>98.2</v>
      </c>
      <c r="G15" s="10">
        <v>59.7</v>
      </c>
      <c r="I15" t="s">
        <v>26</v>
      </c>
      <c r="J15">
        <v>5</v>
      </c>
      <c r="K15">
        <v>3381.9574929705173</v>
      </c>
      <c r="L15">
        <v>676.3914985941035</v>
      </c>
      <c r="M15">
        <v>45.156032430159335</v>
      </c>
      <c r="N15">
        <v>3.0845705430582644E-16</v>
      </c>
    </row>
    <row r="16" spans="1:14" x14ac:dyDescent="0.15">
      <c r="A16" s="6">
        <v>12</v>
      </c>
      <c r="B16" s="7">
        <v>8.5</v>
      </c>
      <c r="C16" s="8">
        <v>27</v>
      </c>
      <c r="D16" s="9">
        <v>216</v>
      </c>
      <c r="E16" s="7">
        <v>90.9</v>
      </c>
      <c r="F16" s="7">
        <v>107.7</v>
      </c>
      <c r="G16" s="10">
        <v>66.2</v>
      </c>
      <c r="I16" t="s">
        <v>27</v>
      </c>
      <c r="J16">
        <v>44</v>
      </c>
      <c r="K16">
        <v>659.07530702948304</v>
      </c>
      <c r="L16">
        <v>14.978984250670068</v>
      </c>
    </row>
    <row r="17" spans="1:17" ht="14" thickBot="1" x14ac:dyDescent="0.2">
      <c r="A17" s="6">
        <v>13</v>
      </c>
      <c r="B17" s="7">
        <v>20.5</v>
      </c>
      <c r="C17" s="8">
        <v>32</v>
      </c>
      <c r="D17" s="9">
        <v>180.5</v>
      </c>
      <c r="E17" s="7">
        <v>91.6</v>
      </c>
      <c r="F17" s="7">
        <v>103.9</v>
      </c>
      <c r="G17" s="10">
        <v>63.4</v>
      </c>
      <c r="I17" s="137" t="s">
        <v>28</v>
      </c>
      <c r="J17" s="137">
        <v>49</v>
      </c>
      <c r="K17" s="137">
        <v>4041.0328000000004</v>
      </c>
      <c r="L17" s="137"/>
      <c r="M17" s="137"/>
      <c r="N17" s="137"/>
    </row>
    <row r="18" spans="1:17" ht="14" thickBot="1" x14ac:dyDescent="0.2">
      <c r="A18" s="6">
        <v>14</v>
      </c>
      <c r="B18" s="7">
        <v>20.8</v>
      </c>
      <c r="C18" s="8">
        <v>30</v>
      </c>
      <c r="D18" s="9">
        <v>205.25</v>
      </c>
      <c r="E18" s="7">
        <v>101.8</v>
      </c>
      <c r="F18" s="7">
        <v>108.6</v>
      </c>
      <c r="G18" s="10">
        <v>66</v>
      </c>
    </row>
    <row r="19" spans="1:17" x14ac:dyDescent="0.15">
      <c r="A19" s="6">
        <v>15</v>
      </c>
      <c r="B19" s="7">
        <v>21.7</v>
      </c>
      <c r="C19" s="8">
        <v>35</v>
      </c>
      <c r="D19" s="9">
        <v>187.75</v>
      </c>
      <c r="E19" s="7">
        <v>96.4</v>
      </c>
      <c r="F19" s="7">
        <v>100.1</v>
      </c>
      <c r="G19" s="10">
        <v>69</v>
      </c>
      <c r="I19" s="138"/>
      <c r="J19" s="138" t="s">
        <v>29</v>
      </c>
      <c r="K19" s="138" t="s">
        <v>18</v>
      </c>
      <c r="L19" s="138" t="s">
        <v>30</v>
      </c>
      <c r="M19" s="138" t="s">
        <v>31</v>
      </c>
      <c r="N19" s="138" t="s">
        <v>32</v>
      </c>
      <c r="O19" s="138" t="s">
        <v>33</v>
      </c>
      <c r="P19" s="138" t="s">
        <v>34</v>
      </c>
      <c r="Q19" s="138" t="s">
        <v>35</v>
      </c>
    </row>
    <row r="20" spans="1:17" x14ac:dyDescent="0.15">
      <c r="A20" s="6">
        <v>16</v>
      </c>
      <c r="B20" s="7">
        <v>20.5</v>
      </c>
      <c r="C20" s="8">
        <v>35</v>
      </c>
      <c r="D20" s="9">
        <v>162.75</v>
      </c>
      <c r="E20" s="7">
        <v>92.8</v>
      </c>
      <c r="F20" s="7">
        <v>99.2</v>
      </c>
      <c r="G20" s="10">
        <v>63.1</v>
      </c>
      <c r="I20" t="s">
        <v>36</v>
      </c>
      <c r="J20">
        <v>-54.758487791408854</v>
      </c>
      <c r="K20">
        <v>12.333555143627496</v>
      </c>
      <c r="L20">
        <v>-4.4397975404278691</v>
      </c>
      <c r="M20">
        <v>5.9780210234758679E-5</v>
      </c>
      <c r="N20">
        <v>-79.615134905489825</v>
      </c>
      <c r="O20">
        <v>-29.901840677327886</v>
      </c>
      <c r="P20">
        <v>-79.615134905489825</v>
      </c>
      <c r="Q20">
        <v>-29.901840677327886</v>
      </c>
    </row>
    <row r="21" spans="1:17" x14ac:dyDescent="0.15">
      <c r="A21" s="6">
        <v>17</v>
      </c>
      <c r="B21" s="7">
        <v>28.1</v>
      </c>
      <c r="C21" s="8">
        <v>34</v>
      </c>
      <c r="D21" s="9">
        <v>195.75</v>
      </c>
      <c r="E21" s="7">
        <v>96.4</v>
      </c>
      <c r="F21" s="7">
        <v>105.2</v>
      </c>
      <c r="G21" s="10">
        <v>64.8</v>
      </c>
      <c r="I21" t="s">
        <v>3</v>
      </c>
      <c r="J21">
        <v>0.11030909112772969</v>
      </c>
      <c r="K21">
        <v>8.2118552239691722E-2</v>
      </c>
      <c r="L21">
        <v>1.3432907439204971</v>
      </c>
      <c r="M21">
        <v>0.18606554253914986</v>
      </c>
      <c r="N21">
        <v>-5.518997631641142E-2</v>
      </c>
      <c r="O21">
        <v>0.2758081585718708</v>
      </c>
      <c r="P21">
        <v>-5.518997631641142E-2</v>
      </c>
      <c r="Q21">
        <v>0.2758081585718708</v>
      </c>
    </row>
    <row r="22" spans="1:17" x14ac:dyDescent="0.15">
      <c r="A22" s="6">
        <v>18</v>
      </c>
      <c r="B22" s="7">
        <v>22.4</v>
      </c>
      <c r="C22" s="8">
        <v>32</v>
      </c>
      <c r="D22" s="9">
        <v>209.25</v>
      </c>
      <c r="E22" s="7">
        <v>97.5</v>
      </c>
      <c r="F22" s="7">
        <v>107</v>
      </c>
      <c r="G22" s="10">
        <v>66.900000000000006</v>
      </c>
      <c r="I22" t="s">
        <v>4</v>
      </c>
      <c r="J22">
        <v>-0.24715866806603287</v>
      </c>
      <c r="K22">
        <v>5.3364325196155152E-2</v>
      </c>
      <c r="L22">
        <v>-4.6315336539445351</v>
      </c>
      <c r="M22">
        <v>3.222002054793108E-5</v>
      </c>
      <c r="N22">
        <v>-0.35470739869843637</v>
      </c>
      <c r="O22">
        <v>-0.13960993743362937</v>
      </c>
      <c r="P22">
        <v>-0.35470739869843637</v>
      </c>
      <c r="Q22">
        <v>-0.13960993743362937</v>
      </c>
    </row>
    <row r="23" spans="1:17" x14ac:dyDescent="0.15">
      <c r="A23" s="6">
        <v>19</v>
      </c>
      <c r="B23" s="7">
        <v>16.100000000000001</v>
      </c>
      <c r="C23" s="8">
        <v>28</v>
      </c>
      <c r="D23" s="9">
        <v>183.75</v>
      </c>
      <c r="E23" s="7">
        <v>89.6</v>
      </c>
      <c r="F23" s="7">
        <v>102.4</v>
      </c>
      <c r="G23" s="10">
        <v>64.2</v>
      </c>
      <c r="I23" t="s">
        <v>8</v>
      </c>
      <c r="J23">
        <v>0.91125396665957337</v>
      </c>
      <c r="K23">
        <v>0.13166988850892064</v>
      </c>
      <c r="L23">
        <v>6.9207468539614956</v>
      </c>
      <c r="M23">
        <v>1.4938454499196687E-8</v>
      </c>
      <c r="N23">
        <v>0.64589074282806902</v>
      </c>
      <c r="O23">
        <v>1.1766171904910776</v>
      </c>
      <c r="P23">
        <v>0.64589074282806902</v>
      </c>
      <c r="Q23">
        <v>1.1766171904910776</v>
      </c>
    </row>
    <row r="24" spans="1:17" x14ac:dyDescent="0.15">
      <c r="A24" s="6">
        <v>20</v>
      </c>
      <c r="B24" s="7">
        <v>16.5</v>
      </c>
      <c r="C24" s="8">
        <v>33</v>
      </c>
      <c r="D24" s="9">
        <v>211.75</v>
      </c>
      <c r="E24" s="7">
        <v>100.5</v>
      </c>
      <c r="F24" s="7">
        <v>109</v>
      </c>
      <c r="G24" s="10">
        <v>65.8</v>
      </c>
      <c r="I24" s="141" t="s">
        <v>9</v>
      </c>
      <c r="J24">
        <v>-0.18623588091677812</v>
      </c>
      <c r="K24">
        <v>0.2403504169696784</v>
      </c>
      <c r="L24">
        <v>-0.77485149917702389</v>
      </c>
      <c r="M24" s="141">
        <v>0.44257171630439152</v>
      </c>
      <c r="N24">
        <v>-0.67063031778150639</v>
      </c>
      <c r="O24">
        <v>0.29815855594795015</v>
      </c>
      <c r="P24">
        <v>-0.67063031778150639</v>
      </c>
      <c r="Q24">
        <v>0.29815855594795015</v>
      </c>
    </row>
    <row r="25" spans="1:17" ht="14" thickBot="1" x14ac:dyDescent="0.2">
      <c r="A25" s="6">
        <v>21</v>
      </c>
      <c r="B25" s="7">
        <v>19</v>
      </c>
      <c r="C25" s="8">
        <v>28</v>
      </c>
      <c r="D25" s="9">
        <v>179</v>
      </c>
      <c r="E25" s="7">
        <v>95.9</v>
      </c>
      <c r="F25" s="7">
        <v>104.9</v>
      </c>
      <c r="G25" s="10">
        <v>63.5</v>
      </c>
      <c r="I25" s="137" t="s">
        <v>10</v>
      </c>
      <c r="J25" s="137">
        <v>0.80034278381110069</v>
      </c>
      <c r="K25" s="137">
        <v>0.26379770295707916</v>
      </c>
      <c r="L25" s="137">
        <v>3.0339262807808427</v>
      </c>
      <c r="M25" s="137">
        <v>4.0412450818202257E-3</v>
      </c>
      <c r="N25" s="137">
        <v>0.26869344705865528</v>
      </c>
      <c r="O25" s="137">
        <v>1.3319921205635461</v>
      </c>
      <c r="P25" s="137">
        <v>0.26869344705865528</v>
      </c>
      <c r="Q25" s="137">
        <v>1.3319921205635461</v>
      </c>
    </row>
    <row r="26" spans="1:17" x14ac:dyDescent="0.15">
      <c r="A26" s="6">
        <v>22</v>
      </c>
      <c r="B26" s="7">
        <v>15.3</v>
      </c>
      <c r="C26" s="8">
        <v>28</v>
      </c>
      <c r="D26" s="9">
        <v>200.5</v>
      </c>
      <c r="E26" s="7">
        <v>98.8</v>
      </c>
      <c r="F26" s="7">
        <v>104.8</v>
      </c>
      <c r="G26" s="10">
        <v>63.4</v>
      </c>
    </row>
    <row r="27" spans="1:17" x14ac:dyDescent="0.15">
      <c r="A27" s="6">
        <v>23</v>
      </c>
      <c r="B27" s="7">
        <v>15.7</v>
      </c>
      <c r="C27" s="8">
        <v>31</v>
      </c>
      <c r="D27" s="9">
        <v>140.25</v>
      </c>
      <c r="E27" s="7">
        <v>76.400000000000006</v>
      </c>
      <c r="F27" s="7">
        <v>94.6</v>
      </c>
      <c r="G27" s="10">
        <v>57.4</v>
      </c>
    </row>
    <row r="28" spans="1:17" x14ac:dyDescent="0.15">
      <c r="A28" s="6">
        <v>24</v>
      </c>
      <c r="B28" s="7">
        <v>17.600000000000001</v>
      </c>
      <c r="C28" s="8">
        <v>32</v>
      </c>
      <c r="D28" s="9">
        <v>148.75</v>
      </c>
      <c r="E28" s="7">
        <v>80</v>
      </c>
      <c r="F28" s="7">
        <v>93.4</v>
      </c>
      <c r="G28" s="10">
        <v>54.9</v>
      </c>
      <c r="I28" s="144" t="s">
        <v>63</v>
      </c>
    </row>
    <row r="29" spans="1:17" x14ac:dyDescent="0.15">
      <c r="A29" s="6">
        <v>25</v>
      </c>
      <c r="B29" s="7">
        <v>14.2</v>
      </c>
      <c r="C29" s="8">
        <v>28</v>
      </c>
      <c r="D29" s="9">
        <v>151.25</v>
      </c>
      <c r="E29" s="7">
        <v>76.3</v>
      </c>
      <c r="F29" s="7">
        <v>95.8</v>
      </c>
      <c r="G29" s="10">
        <v>58.4</v>
      </c>
    </row>
    <row r="30" spans="1:17" x14ac:dyDescent="0.15">
      <c r="A30" s="6">
        <v>26</v>
      </c>
      <c r="B30" s="7">
        <v>4.5999999999999996</v>
      </c>
      <c r="C30" s="8">
        <v>27</v>
      </c>
      <c r="D30" s="9">
        <v>159.25</v>
      </c>
      <c r="E30" s="7">
        <v>79.7</v>
      </c>
      <c r="F30" s="7">
        <v>96.5</v>
      </c>
      <c r="G30" s="10">
        <v>55</v>
      </c>
    </row>
    <row r="31" spans="1:17" x14ac:dyDescent="0.15">
      <c r="A31" s="6">
        <v>27</v>
      </c>
      <c r="B31" s="7">
        <v>8.5</v>
      </c>
      <c r="C31" s="8">
        <v>34</v>
      </c>
      <c r="D31" s="9">
        <v>131.5</v>
      </c>
      <c r="E31" s="7">
        <v>74.599999999999994</v>
      </c>
      <c r="F31" s="7">
        <v>85.3</v>
      </c>
      <c r="G31" s="10">
        <v>51.7</v>
      </c>
    </row>
    <row r="32" spans="1:17" x14ac:dyDescent="0.15">
      <c r="A32" s="6">
        <v>28</v>
      </c>
      <c r="B32" s="7">
        <v>22.4</v>
      </c>
      <c r="C32" s="8">
        <v>31</v>
      </c>
      <c r="D32" s="9">
        <v>148</v>
      </c>
      <c r="E32" s="7">
        <v>88.7</v>
      </c>
      <c r="F32" s="7">
        <v>94.7</v>
      </c>
      <c r="G32" s="10">
        <v>57.5</v>
      </c>
    </row>
    <row r="33" spans="1:7" x14ac:dyDescent="0.15">
      <c r="A33" s="6">
        <v>29</v>
      </c>
      <c r="B33" s="7">
        <v>4.7</v>
      </c>
      <c r="C33" s="8">
        <v>27</v>
      </c>
      <c r="D33" s="9">
        <v>133.25</v>
      </c>
      <c r="E33" s="7">
        <v>73.900000000000006</v>
      </c>
      <c r="F33" s="7">
        <v>88.5</v>
      </c>
      <c r="G33" s="10">
        <v>50.1</v>
      </c>
    </row>
    <row r="34" spans="1:7" x14ac:dyDescent="0.15">
      <c r="A34" s="6">
        <v>30</v>
      </c>
      <c r="B34" s="7">
        <v>9.4</v>
      </c>
      <c r="C34" s="8">
        <v>29</v>
      </c>
      <c r="D34" s="9">
        <v>160.75</v>
      </c>
      <c r="E34" s="7">
        <v>83.5</v>
      </c>
      <c r="F34" s="7">
        <v>98.7</v>
      </c>
      <c r="G34" s="10">
        <v>58.9</v>
      </c>
    </row>
    <row r="35" spans="1:7" x14ac:dyDescent="0.15">
      <c r="A35" s="6">
        <v>31</v>
      </c>
      <c r="B35" s="7">
        <v>12.3</v>
      </c>
      <c r="C35" s="8">
        <v>32</v>
      </c>
      <c r="D35" s="9">
        <v>182</v>
      </c>
      <c r="E35" s="7">
        <v>88.7</v>
      </c>
      <c r="F35" s="7">
        <v>99.8</v>
      </c>
      <c r="G35" s="10">
        <v>57.5</v>
      </c>
    </row>
    <row r="36" spans="1:7" x14ac:dyDescent="0.15">
      <c r="A36" s="6">
        <v>32</v>
      </c>
      <c r="B36" s="7">
        <v>6.5</v>
      </c>
      <c r="C36" s="8">
        <v>29</v>
      </c>
      <c r="D36" s="9">
        <v>160.25</v>
      </c>
      <c r="E36" s="7">
        <v>84.5</v>
      </c>
      <c r="F36" s="7">
        <v>100.6</v>
      </c>
      <c r="G36" s="10">
        <v>58.5</v>
      </c>
    </row>
    <row r="37" spans="1:7" x14ac:dyDescent="0.15">
      <c r="A37" s="6">
        <v>33</v>
      </c>
      <c r="B37" s="7">
        <v>13.4</v>
      </c>
      <c r="C37" s="8">
        <v>27</v>
      </c>
      <c r="D37" s="9">
        <v>168</v>
      </c>
      <c r="E37" s="7">
        <v>79.099999999999994</v>
      </c>
      <c r="F37" s="7">
        <v>94.5</v>
      </c>
      <c r="G37" s="10">
        <v>57.3</v>
      </c>
    </row>
    <row r="38" spans="1:7" x14ac:dyDescent="0.15">
      <c r="A38" s="6">
        <v>34</v>
      </c>
      <c r="B38" s="7">
        <v>20.9</v>
      </c>
      <c r="C38" s="8">
        <v>41</v>
      </c>
      <c r="D38" s="9">
        <v>218.5</v>
      </c>
      <c r="E38" s="7">
        <v>100.5</v>
      </c>
      <c r="F38" s="7">
        <v>108.3</v>
      </c>
      <c r="G38" s="10">
        <v>67.099999999999994</v>
      </c>
    </row>
    <row r="39" spans="1:7" x14ac:dyDescent="0.15">
      <c r="A39" s="6">
        <v>35</v>
      </c>
      <c r="B39" s="7">
        <v>31.1</v>
      </c>
      <c r="C39" s="8">
        <v>41</v>
      </c>
      <c r="D39" s="9">
        <v>247.25</v>
      </c>
      <c r="E39" s="7">
        <v>115.6</v>
      </c>
      <c r="F39" s="7">
        <v>116.1</v>
      </c>
      <c r="G39" s="10">
        <v>71.2</v>
      </c>
    </row>
    <row r="40" spans="1:7" x14ac:dyDescent="0.15">
      <c r="A40" s="6">
        <v>36</v>
      </c>
      <c r="B40" s="7">
        <v>38.200000000000003</v>
      </c>
      <c r="C40" s="8">
        <v>49</v>
      </c>
      <c r="D40" s="9">
        <v>191.75</v>
      </c>
      <c r="E40" s="7">
        <v>113.1</v>
      </c>
      <c r="F40" s="7">
        <v>113.8</v>
      </c>
      <c r="G40" s="10">
        <v>61.9</v>
      </c>
    </row>
    <row r="41" spans="1:7" x14ac:dyDescent="0.15">
      <c r="A41" s="6">
        <v>37</v>
      </c>
      <c r="B41" s="7">
        <v>23.6</v>
      </c>
      <c r="C41" s="8">
        <v>40</v>
      </c>
      <c r="D41" s="9">
        <v>202.25</v>
      </c>
      <c r="E41" s="7">
        <v>100.9</v>
      </c>
      <c r="F41" s="7">
        <v>106.2</v>
      </c>
      <c r="G41" s="10">
        <v>63.5</v>
      </c>
    </row>
    <row r="42" spans="1:7" x14ac:dyDescent="0.15">
      <c r="A42" s="6">
        <v>38</v>
      </c>
      <c r="B42" s="7">
        <v>27.5</v>
      </c>
      <c r="C42" s="8">
        <v>50</v>
      </c>
      <c r="D42" s="9">
        <v>196.75</v>
      </c>
      <c r="E42" s="7">
        <v>98.8</v>
      </c>
      <c r="F42" s="7">
        <v>104.8</v>
      </c>
      <c r="G42" s="10">
        <v>66</v>
      </c>
    </row>
    <row r="43" spans="1:7" x14ac:dyDescent="0.15">
      <c r="A43" s="6">
        <v>39</v>
      </c>
      <c r="B43" s="7">
        <v>33.799999999999997</v>
      </c>
      <c r="C43" s="8">
        <v>46</v>
      </c>
      <c r="D43" s="9">
        <v>363.15</v>
      </c>
      <c r="E43" s="7">
        <v>148.1</v>
      </c>
      <c r="F43" s="7">
        <v>147.69999999999999</v>
      </c>
      <c r="G43" s="10">
        <v>87.3</v>
      </c>
    </row>
    <row r="44" spans="1:7" x14ac:dyDescent="0.15">
      <c r="A44" s="6">
        <v>40</v>
      </c>
      <c r="B44" s="7">
        <v>31.3</v>
      </c>
      <c r="C44" s="8">
        <v>50</v>
      </c>
      <c r="D44" s="9">
        <v>203</v>
      </c>
      <c r="E44" s="7">
        <v>108.1</v>
      </c>
      <c r="F44" s="7">
        <v>102.5</v>
      </c>
      <c r="G44" s="10">
        <v>61.3</v>
      </c>
    </row>
    <row r="45" spans="1:7" x14ac:dyDescent="0.15">
      <c r="A45" s="6">
        <v>41</v>
      </c>
      <c r="B45" s="7">
        <v>33.1</v>
      </c>
      <c r="C45" s="8">
        <v>45</v>
      </c>
      <c r="D45" s="9">
        <v>262.75</v>
      </c>
      <c r="E45" s="7">
        <v>126.2</v>
      </c>
      <c r="F45" s="7">
        <v>125.6</v>
      </c>
      <c r="G45" s="10">
        <v>72.5</v>
      </c>
    </row>
    <row r="46" spans="1:7" x14ac:dyDescent="0.15">
      <c r="A46" s="6">
        <v>42</v>
      </c>
      <c r="B46" s="7">
        <v>31.7</v>
      </c>
      <c r="C46" s="8">
        <v>44</v>
      </c>
      <c r="D46" s="9">
        <v>205</v>
      </c>
      <c r="E46" s="7">
        <v>104.3</v>
      </c>
      <c r="F46" s="7">
        <v>115.5</v>
      </c>
      <c r="G46" s="10">
        <v>70.599999999999994</v>
      </c>
    </row>
    <row r="47" spans="1:7" x14ac:dyDescent="0.15">
      <c r="A47" s="6">
        <v>43</v>
      </c>
      <c r="B47" s="7">
        <v>30.4</v>
      </c>
      <c r="C47" s="8">
        <v>48</v>
      </c>
      <c r="D47" s="9">
        <v>217</v>
      </c>
      <c r="E47" s="7">
        <v>111.2</v>
      </c>
      <c r="F47" s="7">
        <v>114.1</v>
      </c>
      <c r="G47" s="10">
        <v>67.7</v>
      </c>
    </row>
    <row r="48" spans="1:7" x14ac:dyDescent="0.15">
      <c r="A48" s="6">
        <v>44</v>
      </c>
      <c r="B48" s="7">
        <v>30.8</v>
      </c>
      <c r="C48" s="8">
        <v>41</v>
      </c>
      <c r="D48" s="9">
        <v>212</v>
      </c>
      <c r="E48" s="7">
        <v>104.3</v>
      </c>
      <c r="F48" s="7">
        <v>106</v>
      </c>
      <c r="G48" s="10">
        <v>65</v>
      </c>
    </row>
    <row r="49" spans="1:7" x14ac:dyDescent="0.15">
      <c r="A49" s="6">
        <v>45</v>
      </c>
      <c r="B49" s="7">
        <v>8.4</v>
      </c>
      <c r="C49" s="8">
        <v>39</v>
      </c>
      <c r="D49" s="9">
        <v>125.25</v>
      </c>
      <c r="E49" s="7">
        <v>76</v>
      </c>
      <c r="F49" s="7">
        <v>88.2</v>
      </c>
      <c r="G49" s="10">
        <v>50</v>
      </c>
    </row>
    <row r="50" spans="1:7" x14ac:dyDescent="0.15">
      <c r="A50" s="6">
        <v>46</v>
      </c>
      <c r="B50" s="7">
        <v>14.1</v>
      </c>
      <c r="C50" s="8">
        <v>43</v>
      </c>
      <c r="D50" s="9">
        <v>164.25</v>
      </c>
      <c r="E50" s="7">
        <v>81.5</v>
      </c>
      <c r="F50" s="7">
        <v>97.2</v>
      </c>
      <c r="G50" s="10">
        <v>58.4</v>
      </c>
    </row>
    <row r="51" spans="1:7" x14ac:dyDescent="0.15">
      <c r="A51" s="6">
        <v>47</v>
      </c>
      <c r="B51" s="7">
        <v>11.2</v>
      </c>
      <c r="C51" s="8">
        <v>40</v>
      </c>
      <c r="D51" s="9">
        <v>133.5</v>
      </c>
      <c r="E51" s="7">
        <v>73.7</v>
      </c>
      <c r="F51" s="7">
        <v>88.5</v>
      </c>
      <c r="G51" s="10">
        <v>53.3</v>
      </c>
    </row>
    <row r="52" spans="1:7" x14ac:dyDescent="0.15">
      <c r="A52" s="6">
        <v>48</v>
      </c>
      <c r="B52" s="7">
        <v>6.4</v>
      </c>
      <c r="C52" s="8">
        <v>39</v>
      </c>
      <c r="D52" s="9">
        <v>148.5</v>
      </c>
      <c r="E52" s="7">
        <v>79.5</v>
      </c>
      <c r="F52" s="7">
        <v>92.7</v>
      </c>
      <c r="G52" s="10">
        <v>52.7</v>
      </c>
    </row>
    <row r="53" spans="1:7" x14ac:dyDescent="0.15">
      <c r="A53" s="6">
        <v>49</v>
      </c>
      <c r="B53" s="7">
        <v>13.4</v>
      </c>
      <c r="C53" s="8">
        <v>45</v>
      </c>
      <c r="D53" s="9">
        <v>135.75</v>
      </c>
      <c r="E53" s="7">
        <v>83.4</v>
      </c>
      <c r="F53" s="7">
        <v>90.4</v>
      </c>
      <c r="G53" s="10">
        <v>52</v>
      </c>
    </row>
    <row r="54" spans="1:7" x14ac:dyDescent="0.15">
      <c r="A54" s="11">
        <v>50</v>
      </c>
      <c r="B54" s="12">
        <v>5</v>
      </c>
      <c r="C54" s="13">
        <v>47</v>
      </c>
      <c r="D54" s="14">
        <v>127.5</v>
      </c>
      <c r="E54" s="12">
        <v>70.400000000000006</v>
      </c>
      <c r="F54" s="12">
        <v>87.2</v>
      </c>
      <c r="G54" s="15">
        <v>50.6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C5633-2D5C-C74C-88F7-4069684A7423}">
  <dimension ref="A2:P54"/>
  <sheetViews>
    <sheetView topLeftCell="M8" workbookViewId="0">
      <selection activeCell="R37" sqref="R37"/>
    </sheetView>
  </sheetViews>
  <sheetFormatPr baseColWidth="10" defaultColWidth="11.5" defaultRowHeight="13" x14ac:dyDescent="0.15"/>
  <cols>
    <col min="8" max="8" width="19.1640625" bestFit="1" customWidth="1"/>
    <col min="9" max="9" width="15" customWidth="1"/>
    <col min="10" max="10" width="19.1640625" customWidth="1"/>
    <col min="11" max="11" width="19.83203125" customWidth="1"/>
    <col min="12" max="12" width="17.33203125" customWidth="1"/>
    <col min="13" max="13" width="14.83203125" customWidth="1"/>
    <col min="14" max="14" width="18.33203125" customWidth="1"/>
    <col min="15" max="16" width="17.6640625" customWidth="1"/>
  </cols>
  <sheetData>
    <row r="2" spans="1:13" ht="16" x14ac:dyDescent="0.2">
      <c r="A2" s="16" t="s">
        <v>0</v>
      </c>
    </row>
    <row r="4" spans="1:13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8</v>
      </c>
      <c r="F4" s="19" t="s">
        <v>10</v>
      </c>
      <c r="H4" t="s">
        <v>12</v>
      </c>
    </row>
    <row r="5" spans="1:13" ht="14" thickBot="1" x14ac:dyDescent="0.2">
      <c r="A5" s="1">
        <v>1</v>
      </c>
      <c r="B5" s="2">
        <v>12.6</v>
      </c>
      <c r="C5" s="3">
        <v>23</v>
      </c>
      <c r="D5" s="4">
        <v>154.25</v>
      </c>
      <c r="E5" s="2">
        <v>85.2</v>
      </c>
      <c r="F5" s="5">
        <v>59</v>
      </c>
    </row>
    <row r="6" spans="1:13" x14ac:dyDescent="0.15">
      <c r="A6" s="6">
        <v>2</v>
      </c>
      <c r="B6" s="7">
        <v>6.9</v>
      </c>
      <c r="C6" s="8">
        <v>22</v>
      </c>
      <c r="D6" s="9">
        <v>173.25</v>
      </c>
      <c r="E6" s="7">
        <v>83</v>
      </c>
      <c r="F6" s="10">
        <v>58.7</v>
      </c>
      <c r="H6" s="139" t="s">
        <v>14</v>
      </c>
      <c r="I6" s="139"/>
    </row>
    <row r="7" spans="1:13" x14ac:dyDescent="0.15">
      <c r="A7" s="6">
        <v>3</v>
      </c>
      <c r="B7" s="7">
        <v>24.6</v>
      </c>
      <c r="C7" s="8">
        <v>22</v>
      </c>
      <c r="D7" s="9">
        <v>154</v>
      </c>
      <c r="E7" s="7">
        <v>87.9</v>
      </c>
      <c r="F7" s="10">
        <v>59.6</v>
      </c>
      <c r="H7" t="s">
        <v>15</v>
      </c>
      <c r="I7">
        <v>0.91360754457303184</v>
      </c>
    </row>
    <row r="8" spans="1:13" x14ac:dyDescent="0.15">
      <c r="A8" s="6">
        <v>4</v>
      </c>
      <c r="B8" s="7">
        <v>10.9</v>
      </c>
      <c r="C8" s="8">
        <v>26</v>
      </c>
      <c r="D8" s="9">
        <v>184.75</v>
      </c>
      <c r="E8" s="7">
        <v>86.4</v>
      </c>
      <c r="F8" s="10">
        <v>60.1</v>
      </c>
      <c r="H8" t="s">
        <v>16</v>
      </c>
      <c r="I8">
        <v>0.83467874550076437</v>
      </c>
    </row>
    <row r="9" spans="1:13" x14ac:dyDescent="0.15">
      <c r="A9" s="6">
        <v>5</v>
      </c>
      <c r="B9" s="7">
        <v>27.8</v>
      </c>
      <c r="C9" s="8">
        <v>24</v>
      </c>
      <c r="D9" s="9">
        <v>184.25</v>
      </c>
      <c r="E9" s="7">
        <v>100</v>
      </c>
      <c r="F9" s="10">
        <v>63.2</v>
      </c>
      <c r="H9" t="s">
        <v>17</v>
      </c>
      <c r="I9" s="116">
        <v>0.81998352287861009</v>
      </c>
    </row>
    <row r="10" spans="1:13" x14ac:dyDescent="0.15">
      <c r="A10" s="6">
        <v>6</v>
      </c>
      <c r="B10" s="7">
        <v>20.6</v>
      </c>
      <c r="C10" s="8">
        <v>24</v>
      </c>
      <c r="D10" s="9">
        <v>210.25</v>
      </c>
      <c r="E10" s="7">
        <v>94.4</v>
      </c>
      <c r="F10" s="10">
        <v>66</v>
      </c>
      <c r="H10" t="s">
        <v>18</v>
      </c>
      <c r="I10">
        <v>3.8530467366561827</v>
      </c>
    </row>
    <row r="11" spans="1:13" ht="14" thickBot="1" x14ac:dyDescent="0.2">
      <c r="A11" s="6">
        <v>7</v>
      </c>
      <c r="B11" s="7">
        <v>19</v>
      </c>
      <c r="C11" s="8">
        <v>26</v>
      </c>
      <c r="D11" s="9">
        <v>181</v>
      </c>
      <c r="E11" s="7">
        <v>90.7</v>
      </c>
      <c r="F11" s="10">
        <v>58.4</v>
      </c>
      <c r="H11" s="137" t="s">
        <v>19</v>
      </c>
      <c r="I11" s="137">
        <v>50</v>
      </c>
    </row>
    <row r="12" spans="1:13" x14ac:dyDescent="0.15">
      <c r="A12" s="6">
        <v>8</v>
      </c>
      <c r="B12" s="7">
        <v>12.8</v>
      </c>
      <c r="C12" s="8">
        <v>25</v>
      </c>
      <c r="D12" s="9">
        <v>176</v>
      </c>
      <c r="E12" s="7">
        <v>88.5</v>
      </c>
      <c r="F12" s="10">
        <v>60</v>
      </c>
    </row>
    <row r="13" spans="1:13" ht="14" thickBot="1" x14ac:dyDescent="0.2">
      <c r="A13" s="6">
        <v>9</v>
      </c>
      <c r="B13" s="7">
        <v>5.0999999999999996</v>
      </c>
      <c r="C13" s="8">
        <v>25</v>
      </c>
      <c r="D13" s="9">
        <v>191</v>
      </c>
      <c r="E13" s="7">
        <v>82.5</v>
      </c>
      <c r="F13" s="10">
        <v>62.9</v>
      </c>
      <c r="H13" t="s">
        <v>20</v>
      </c>
    </row>
    <row r="14" spans="1:13" x14ac:dyDescent="0.15">
      <c r="A14" s="6">
        <v>10</v>
      </c>
      <c r="B14" s="7">
        <v>12</v>
      </c>
      <c r="C14" s="8">
        <v>23</v>
      </c>
      <c r="D14" s="9">
        <v>198.25</v>
      </c>
      <c r="E14" s="7">
        <v>88.6</v>
      </c>
      <c r="F14" s="10">
        <v>63.1</v>
      </c>
      <c r="H14" s="138"/>
      <c r="I14" s="138" t="s">
        <v>21</v>
      </c>
      <c r="J14" s="138" t="s">
        <v>22</v>
      </c>
      <c r="K14" s="138" t="s">
        <v>23</v>
      </c>
      <c r="L14" s="138" t="s">
        <v>24</v>
      </c>
      <c r="M14" s="138" t="s">
        <v>25</v>
      </c>
    </row>
    <row r="15" spans="1:13" x14ac:dyDescent="0.15">
      <c r="A15" s="6">
        <v>11</v>
      </c>
      <c r="B15" s="7">
        <v>7.5</v>
      </c>
      <c r="C15" s="8">
        <v>26</v>
      </c>
      <c r="D15" s="9">
        <v>186.25</v>
      </c>
      <c r="E15" s="7">
        <v>83.6</v>
      </c>
      <c r="F15" s="10">
        <v>59.7</v>
      </c>
      <c r="H15" t="s">
        <v>26</v>
      </c>
      <c r="I15">
        <v>4</v>
      </c>
      <c r="J15">
        <v>3372.9641880314416</v>
      </c>
      <c r="K15">
        <v>843.2410470078604</v>
      </c>
      <c r="L15">
        <v>56.799326349940181</v>
      </c>
      <c r="M15">
        <v>5.1124353356758007E-17</v>
      </c>
    </row>
    <row r="16" spans="1:13" x14ac:dyDescent="0.15">
      <c r="A16" s="6">
        <v>12</v>
      </c>
      <c r="B16" s="7">
        <v>8.5</v>
      </c>
      <c r="C16" s="8">
        <v>27</v>
      </c>
      <c r="D16" s="9">
        <v>216</v>
      </c>
      <c r="E16" s="7">
        <v>90.9</v>
      </c>
      <c r="F16" s="10">
        <v>66.2</v>
      </c>
      <c r="H16" t="s">
        <v>27</v>
      </c>
      <c r="I16">
        <v>45</v>
      </c>
      <c r="J16">
        <v>668.06861196855868</v>
      </c>
      <c r="K16">
        <v>14.84596915485686</v>
      </c>
    </row>
    <row r="17" spans="1:16" ht="14" thickBot="1" x14ac:dyDescent="0.2">
      <c r="A17" s="6">
        <v>13</v>
      </c>
      <c r="B17" s="7">
        <v>20.5</v>
      </c>
      <c r="C17" s="8">
        <v>32</v>
      </c>
      <c r="D17" s="9">
        <v>180.5</v>
      </c>
      <c r="E17" s="7">
        <v>91.6</v>
      </c>
      <c r="F17" s="10">
        <v>63.4</v>
      </c>
      <c r="H17" s="137" t="s">
        <v>28</v>
      </c>
      <c r="I17" s="137">
        <v>49</v>
      </c>
      <c r="J17" s="137">
        <v>4041.0328000000004</v>
      </c>
      <c r="K17" s="137"/>
      <c r="L17" s="137"/>
      <c r="M17" s="137"/>
    </row>
    <row r="18" spans="1:16" ht="14" thickBot="1" x14ac:dyDescent="0.2">
      <c r="A18" s="6">
        <v>14</v>
      </c>
      <c r="B18" s="7">
        <v>20.8</v>
      </c>
      <c r="C18" s="8">
        <v>30</v>
      </c>
      <c r="D18" s="9">
        <v>205.25</v>
      </c>
      <c r="E18" s="7">
        <v>101.8</v>
      </c>
      <c r="F18" s="10">
        <v>66</v>
      </c>
    </row>
    <row r="19" spans="1:16" x14ac:dyDescent="0.15">
      <c r="A19" s="6">
        <v>15</v>
      </c>
      <c r="B19" s="7">
        <v>21.7</v>
      </c>
      <c r="C19" s="8">
        <v>35</v>
      </c>
      <c r="D19" s="9">
        <v>187.75</v>
      </c>
      <c r="E19" s="7">
        <v>96.4</v>
      </c>
      <c r="F19" s="10">
        <v>69</v>
      </c>
      <c r="H19" s="138"/>
      <c r="I19" s="138" t="s">
        <v>29</v>
      </c>
      <c r="J19" s="138" t="s">
        <v>18</v>
      </c>
      <c r="K19" s="138" t="s">
        <v>30</v>
      </c>
      <c r="L19" s="138" t="s">
        <v>31</v>
      </c>
      <c r="M19" s="138" t="s">
        <v>32</v>
      </c>
      <c r="N19" s="138" t="s">
        <v>33</v>
      </c>
      <c r="O19" s="138" t="s">
        <v>34</v>
      </c>
      <c r="P19" s="138" t="s">
        <v>35</v>
      </c>
    </row>
    <row r="20" spans="1:16" x14ac:dyDescent="0.15">
      <c r="A20" s="6">
        <v>16</v>
      </c>
      <c r="B20" s="7">
        <v>20.5</v>
      </c>
      <c r="C20" s="8">
        <v>35</v>
      </c>
      <c r="D20" s="9">
        <v>162.75</v>
      </c>
      <c r="E20" s="7">
        <v>92.8</v>
      </c>
      <c r="F20" s="10">
        <v>63.1</v>
      </c>
      <c r="H20" t="s">
        <v>36</v>
      </c>
      <c r="I20">
        <v>-61.689248434282923</v>
      </c>
      <c r="J20">
        <v>8.4539821685764753</v>
      </c>
      <c r="K20">
        <v>-7.2970639403028779</v>
      </c>
      <c r="L20">
        <v>3.7026839528570681E-9</v>
      </c>
      <c r="M20">
        <v>-78.716442569551049</v>
      </c>
      <c r="N20">
        <v>-44.662054299014805</v>
      </c>
      <c r="O20">
        <v>-78.716442569551049</v>
      </c>
      <c r="P20">
        <v>-44.662054299014805</v>
      </c>
    </row>
    <row r="21" spans="1:16" x14ac:dyDescent="0.15">
      <c r="A21" s="6">
        <v>17</v>
      </c>
      <c r="B21" s="7">
        <v>28.1</v>
      </c>
      <c r="C21" s="8">
        <v>34</v>
      </c>
      <c r="D21" s="9">
        <v>195.75</v>
      </c>
      <c r="E21" s="7">
        <v>96.4</v>
      </c>
      <c r="F21" s="10">
        <v>64.8</v>
      </c>
      <c r="H21" s="141" t="s">
        <v>3</v>
      </c>
      <c r="I21">
        <v>0.11170053704836334</v>
      </c>
      <c r="J21">
        <v>8.1733578432791706E-2</v>
      </c>
      <c r="K21">
        <v>1.3666419504709808</v>
      </c>
      <c r="L21" s="141">
        <v>0.17852731975393915</v>
      </c>
      <c r="M21">
        <v>-5.2919340258480836E-2</v>
      </c>
      <c r="N21">
        <v>0.27632041435520754</v>
      </c>
      <c r="O21">
        <v>-5.2919340258480836E-2</v>
      </c>
      <c r="P21">
        <v>0.27632041435520754</v>
      </c>
    </row>
    <row r="22" spans="1:16" x14ac:dyDescent="0.15">
      <c r="A22" s="6">
        <v>18</v>
      </c>
      <c r="B22" s="7">
        <v>22.4</v>
      </c>
      <c r="C22" s="8">
        <v>32</v>
      </c>
      <c r="D22" s="9">
        <v>209.25</v>
      </c>
      <c r="E22" s="7">
        <v>97.5</v>
      </c>
      <c r="F22" s="10">
        <v>66.900000000000006</v>
      </c>
      <c r="H22" t="s">
        <v>4</v>
      </c>
      <c r="I22">
        <v>-0.26797753221911691</v>
      </c>
      <c r="J22">
        <v>4.5901778760786043E-2</v>
      </c>
      <c r="K22">
        <v>-5.8380642200308479</v>
      </c>
      <c r="L22">
        <v>5.4279067782249215E-7</v>
      </c>
      <c r="M22">
        <v>-0.36042846037687493</v>
      </c>
      <c r="N22">
        <v>-0.17552660406135892</v>
      </c>
      <c r="O22">
        <v>-0.36042846037687493</v>
      </c>
      <c r="P22">
        <v>-0.17552660406135892</v>
      </c>
    </row>
    <row r="23" spans="1:16" x14ac:dyDescent="0.15">
      <c r="A23" s="6">
        <v>19</v>
      </c>
      <c r="B23" s="7">
        <v>16.100000000000001</v>
      </c>
      <c r="C23" s="8">
        <v>28</v>
      </c>
      <c r="D23" s="9">
        <v>183.75</v>
      </c>
      <c r="E23" s="7">
        <v>89.6</v>
      </c>
      <c r="F23" s="10">
        <v>64.2</v>
      </c>
      <c r="H23" t="s">
        <v>8</v>
      </c>
      <c r="I23">
        <v>0.86321554699273473</v>
      </c>
      <c r="J23">
        <v>0.11564392301260699</v>
      </c>
      <c r="K23">
        <v>7.464426357264192</v>
      </c>
      <c r="L23">
        <v>2.0975058142705249E-9</v>
      </c>
      <c r="M23">
        <v>0.63029672974956741</v>
      </c>
      <c r="N23">
        <v>1.096134364235902</v>
      </c>
      <c r="O23">
        <v>0.63029672974956741</v>
      </c>
      <c r="P23">
        <v>1.096134364235902</v>
      </c>
    </row>
    <row r="24" spans="1:16" ht="14" thickBot="1" x14ac:dyDescent="0.2">
      <c r="A24" s="6">
        <v>20</v>
      </c>
      <c r="B24" s="7">
        <v>16.5</v>
      </c>
      <c r="C24" s="8">
        <v>33</v>
      </c>
      <c r="D24" s="9">
        <v>211.75</v>
      </c>
      <c r="E24" s="7">
        <v>100.5</v>
      </c>
      <c r="F24" s="10">
        <v>65.8</v>
      </c>
      <c r="H24" s="137" t="s">
        <v>10</v>
      </c>
      <c r="I24" s="137">
        <v>0.7371890122842476</v>
      </c>
      <c r="J24" s="137">
        <v>0.24977449461082246</v>
      </c>
      <c r="K24" s="137">
        <v>2.9514182920592966</v>
      </c>
      <c r="L24" s="137">
        <v>5.0089477856852726E-3</v>
      </c>
      <c r="M24" s="137">
        <v>0.23411735623258956</v>
      </c>
      <c r="N24" s="137">
        <v>1.2402606683359056</v>
      </c>
      <c r="O24" s="137">
        <v>0.23411735623258956</v>
      </c>
      <c r="P24" s="137">
        <v>1.2402606683359056</v>
      </c>
    </row>
    <row r="25" spans="1:16" x14ac:dyDescent="0.15">
      <c r="A25" s="6">
        <v>21</v>
      </c>
      <c r="B25" s="7">
        <v>19</v>
      </c>
      <c r="C25" s="8">
        <v>28</v>
      </c>
      <c r="D25" s="9">
        <v>179</v>
      </c>
      <c r="E25" s="7">
        <v>95.9</v>
      </c>
      <c r="F25" s="10">
        <v>63.5</v>
      </c>
    </row>
    <row r="26" spans="1:16" x14ac:dyDescent="0.15">
      <c r="A26" s="6">
        <v>22</v>
      </c>
      <c r="B26" s="7">
        <v>15.3</v>
      </c>
      <c r="C26" s="8">
        <v>28</v>
      </c>
      <c r="D26" s="9">
        <v>200.5</v>
      </c>
      <c r="E26" s="7">
        <v>98.8</v>
      </c>
      <c r="F26" s="10">
        <v>63.4</v>
      </c>
      <c r="H26" s="144" t="s">
        <v>64</v>
      </c>
    </row>
    <row r="27" spans="1:16" x14ac:dyDescent="0.15">
      <c r="A27" s="6">
        <v>23</v>
      </c>
      <c r="B27" s="7">
        <v>15.7</v>
      </c>
      <c r="C27" s="8">
        <v>31</v>
      </c>
      <c r="D27" s="9">
        <v>140.25</v>
      </c>
      <c r="E27" s="7">
        <v>76.400000000000006</v>
      </c>
      <c r="F27" s="10">
        <v>57.4</v>
      </c>
    </row>
    <row r="28" spans="1:16" x14ac:dyDescent="0.15">
      <c r="A28" s="6">
        <v>24</v>
      </c>
      <c r="B28" s="7">
        <v>17.600000000000001</v>
      </c>
      <c r="C28" s="8">
        <v>32</v>
      </c>
      <c r="D28" s="9">
        <v>148.75</v>
      </c>
      <c r="E28" s="7">
        <v>80</v>
      </c>
      <c r="F28" s="10">
        <v>54.9</v>
      </c>
    </row>
    <row r="29" spans="1:16" x14ac:dyDescent="0.15">
      <c r="A29" s="6">
        <v>25</v>
      </c>
      <c r="B29" s="7">
        <v>14.2</v>
      </c>
      <c r="C29" s="8">
        <v>28</v>
      </c>
      <c r="D29" s="9">
        <v>151.25</v>
      </c>
      <c r="E29" s="7">
        <v>76.3</v>
      </c>
      <c r="F29" s="10">
        <v>58.4</v>
      </c>
    </row>
    <row r="30" spans="1:16" x14ac:dyDescent="0.15">
      <c r="A30" s="6">
        <v>26</v>
      </c>
      <c r="B30" s="7">
        <v>4.5999999999999996</v>
      </c>
      <c r="C30" s="8">
        <v>27</v>
      </c>
      <c r="D30" s="9">
        <v>159.25</v>
      </c>
      <c r="E30" s="7">
        <v>79.7</v>
      </c>
      <c r="F30" s="10">
        <v>55</v>
      </c>
    </row>
    <row r="31" spans="1:16" x14ac:dyDescent="0.15">
      <c r="A31" s="6">
        <v>27</v>
      </c>
      <c r="B31" s="7">
        <v>8.5</v>
      </c>
      <c r="C31" s="8">
        <v>34</v>
      </c>
      <c r="D31" s="9">
        <v>131.5</v>
      </c>
      <c r="E31" s="7">
        <v>74.599999999999994</v>
      </c>
      <c r="F31" s="10">
        <v>51.7</v>
      </c>
    </row>
    <row r="32" spans="1:16" x14ac:dyDescent="0.15">
      <c r="A32" s="6">
        <v>28</v>
      </c>
      <c r="B32" s="7">
        <v>22.4</v>
      </c>
      <c r="C32" s="8">
        <v>31</v>
      </c>
      <c r="D32" s="9">
        <v>148</v>
      </c>
      <c r="E32" s="7">
        <v>88.7</v>
      </c>
      <c r="F32" s="10">
        <v>57.5</v>
      </c>
    </row>
    <row r="33" spans="1:6" x14ac:dyDescent="0.15">
      <c r="A33" s="6">
        <v>29</v>
      </c>
      <c r="B33" s="7">
        <v>4.7</v>
      </c>
      <c r="C33" s="8">
        <v>27</v>
      </c>
      <c r="D33" s="9">
        <v>133.25</v>
      </c>
      <c r="E33" s="7">
        <v>73.900000000000006</v>
      </c>
      <c r="F33" s="10">
        <v>50.1</v>
      </c>
    </row>
    <row r="34" spans="1:6" x14ac:dyDescent="0.15">
      <c r="A34" s="6">
        <v>30</v>
      </c>
      <c r="B34" s="7">
        <v>9.4</v>
      </c>
      <c r="C34" s="8">
        <v>29</v>
      </c>
      <c r="D34" s="9">
        <v>160.75</v>
      </c>
      <c r="E34" s="7">
        <v>83.5</v>
      </c>
      <c r="F34" s="10">
        <v>58.9</v>
      </c>
    </row>
    <row r="35" spans="1:6" x14ac:dyDescent="0.15">
      <c r="A35" s="6">
        <v>31</v>
      </c>
      <c r="B35" s="7">
        <v>12.3</v>
      </c>
      <c r="C35" s="8">
        <v>32</v>
      </c>
      <c r="D35" s="9">
        <v>182</v>
      </c>
      <c r="E35" s="7">
        <v>88.7</v>
      </c>
      <c r="F35" s="10">
        <v>57.5</v>
      </c>
    </row>
    <row r="36" spans="1:6" x14ac:dyDescent="0.15">
      <c r="A36" s="6">
        <v>32</v>
      </c>
      <c r="B36" s="7">
        <v>6.5</v>
      </c>
      <c r="C36" s="8">
        <v>29</v>
      </c>
      <c r="D36" s="9">
        <v>160.25</v>
      </c>
      <c r="E36" s="7">
        <v>84.5</v>
      </c>
      <c r="F36" s="10">
        <v>58.5</v>
      </c>
    </row>
    <row r="37" spans="1:6" x14ac:dyDescent="0.15">
      <c r="A37" s="6">
        <v>33</v>
      </c>
      <c r="B37" s="7">
        <v>13.4</v>
      </c>
      <c r="C37" s="8">
        <v>27</v>
      </c>
      <c r="D37" s="9">
        <v>168</v>
      </c>
      <c r="E37" s="7">
        <v>79.099999999999994</v>
      </c>
      <c r="F37" s="10">
        <v>57.3</v>
      </c>
    </row>
    <row r="38" spans="1:6" x14ac:dyDescent="0.15">
      <c r="A38" s="6">
        <v>34</v>
      </c>
      <c r="B38" s="7">
        <v>20.9</v>
      </c>
      <c r="C38" s="8">
        <v>41</v>
      </c>
      <c r="D38" s="9">
        <v>218.5</v>
      </c>
      <c r="E38" s="7">
        <v>100.5</v>
      </c>
      <c r="F38" s="10">
        <v>67.099999999999994</v>
      </c>
    </row>
    <row r="39" spans="1:6" x14ac:dyDescent="0.15">
      <c r="A39" s="6">
        <v>35</v>
      </c>
      <c r="B39" s="7">
        <v>31.1</v>
      </c>
      <c r="C39" s="8">
        <v>41</v>
      </c>
      <c r="D39" s="9">
        <v>247.25</v>
      </c>
      <c r="E39" s="7">
        <v>115.6</v>
      </c>
      <c r="F39" s="10">
        <v>71.2</v>
      </c>
    </row>
    <row r="40" spans="1:6" x14ac:dyDescent="0.15">
      <c r="A40" s="6">
        <v>36</v>
      </c>
      <c r="B40" s="7">
        <v>38.200000000000003</v>
      </c>
      <c r="C40" s="8">
        <v>49</v>
      </c>
      <c r="D40" s="9">
        <v>191.75</v>
      </c>
      <c r="E40" s="7">
        <v>113.1</v>
      </c>
      <c r="F40" s="10">
        <v>61.9</v>
      </c>
    </row>
    <row r="41" spans="1:6" x14ac:dyDescent="0.15">
      <c r="A41" s="6">
        <v>37</v>
      </c>
      <c r="B41" s="7">
        <v>23.6</v>
      </c>
      <c r="C41" s="8">
        <v>40</v>
      </c>
      <c r="D41" s="9">
        <v>202.25</v>
      </c>
      <c r="E41" s="7">
        <v>100.9</v>
      </c>
      <c r="F41" s="10">
        <v>63.5</v>
      </c>
    </row>
    <row r="42" spans="1:6" x14ac:dyDescent="0.15">
      <c r="A42" s="6">
        <v>38</v>
      </c>
      <c r="B42" s="7">
        <v>27.5</v>
      </c>
      <c r="C42" s="8">
        <v>50</v>
      </c>
      <c r="D42" s="9">
        <v>196.75</v>
      </c>
      <c r="E42" s="7">
        <v>98.8</v>
      </c>
      <c r="F42" s="10">
        <v>66</v>
      </c>
    </row>
    <row r="43" spans="1:6" x14ac:dyDescent="0.15">
      <c r="A43" s="6">
        <v>39</v>
      </c>
      <c r="B43" s="7">
        <v>33.799999999999997</v>
      </c>
      <c r="C43" s="8">
        <v>46</v>
      </c>
      <c r="D43" s="9">
        <v>363.15</v>
      </c>
      <c r="E43" s="7">
        <v>148.1</v>
      </c>
      <c r="F43" s="10">
        <v>87.3</v>
      </c>
    </row>
    <row r="44" spans="1:6" x14ac:dyDescent="0.15">
      <c r="A44" s="6">
        <v>40</v>
      </c>
      <c r="B44" s="7">
        <v>31.3</v>
      </c>
      <c r="C44" s="8">
        <v>50</v>
      </c>
      <c r="D44" s="9">
        <v>203</v>
      </c>
      <c r="E44" s="7">
        <v>108.1</v>
      </c>
      <c r="F44" s="10">
        <v>61.3</v>
      </c>
    </row>
    <row r="45" spans="1:6" x14ac:dyDescent="0.15">
      <c r="A45" s="6">
        <v>41</v>
      </c>
      <c r="B45" s="7">
        <v>33.1</v>
      </c>
      <c r="C45" s="8">
        <v>45</v>
      </c>
      <c r="D45" s="9">
        <v>262.75</v>
      </c>
      <c r="E45" s="7">
        <v>126.2</v>
      </c>
      <c r="F45" s="10">
        <v>72.5</v>
      </c>
    </row>
    <row r="46" spans="1:6" x14ac:dyDescent="0.15">
      <c r="A46" s="6">
        <v>42</v>
      </c>
      <c r="B46" s="7">
        <v>31.7</v>
      </c>
      <c r="C46" s="8">
        <v>44</v>
      </c>
      <c r="D46" s="9">
        <v>205</v>
      </c>
      <c r="E46" s="7">
        <v>104.3</v>
      </c>
      <c r="F46" s="10">
        <v>70.599999999999994</v>
      </c>
    </row>
    <row r="47" spans="1:6" x14ac:dyDescent="0.15">
      <c r="A47" s="6">
        <v>43</v>
      </c>
      <c r="B47" s="7">
        <v>30.4</v>
      </c>
      <c r="C47" s="8">
        <v>48</v>
      </c>
      <c r="D47" s="9">
        <v>217</v>
      </c>
      <c r="E47" s="7">
        <v>111.2</v>
      </c>
      <c r="F47" s="10">
        <v>67.7</v>
      </c>
    </row>
    <row r="48" spans="1:6" x14ac:dyDescent="0.15">
      <c r="A48" s="6">
        <v>44</v>
      </c>
      <c r="B48" s="7">
        <v>30.8</v>
      </c>
      <c r="C48" s="8">
        <v>41</v>
      </c>
      <c r="D48" s="9">
        <v>212</v>
      </c>
      <c r="E48" s="7">
        <v>104.3</v>
      </c>
      <c r="F48" s="10">
        <v>65</v>
      </c>
    </row>
    <row r="49" spans="1:6" x14ac:dyDescent="0.15">
      <c r="A49" s="6">
        <v>45</v>
      </c>
      <c r="B49" s="7">
        <v>8.4</v>
      </c>
      <c r="C49" s="8">
        <v>39</v>
      </c>
      <c r="D49" s="9">
        <v>125.25</v>
      </c>
      <c r="E49" s="7">
        <v>76</v>
      </c>
      <c r="F49" s="10">
        <v>50</v>
      </c>
    </row>
    <row r="50" spans="1:6" x14ac:dyDescent="0.15">
      <c r="A50" s="6">
        <v>46</v>
      </c>
      <c r="B50" s="7">
        <v>14.1</v>
      </c>
      <c r="C50" s="8">
        <v>43</v>
      </c>
      <c r="D50" s="9">
        <v>164.25</v>
      </c>
      <c r="E50" s="7">
        <v>81.5</v>
      </c>
      <c r="F50" s="10">
        <v>58.4</v>
      </c>
    </row>
    <row r="51" spans="1:6" x14ac:dyDescent="0.15">
      <c r="A51" s="6">
        <v>47</v>
      </c>
      <c r="B51" s="7">
        <v>11.2</v>
      </c>
      <c r="C51" s="8">
        <v>40</v>
      </c>
      <c r="D51" s="9">
        <v>133.5</v>
      </c>
      <c r="E51" s="7">
        <v>73.7</v>
      </c>
      <c r="F51" s="10">
        <v>53.3</v>
      </c>
    </row>
    <row r="52" spans="1:6" x14ac:dyDescent="0.15">
      <c r="A52" s="6">
        <v>48</v>
      </c>
      <c r="B52" s="7">
        <v>6.4</v>
      </c>
      <c r="C52" s="8">
        <v>39</v>
      </c>
      <c r="D52" s="9">
        <v>148.5</v>
      </c>
      <c r="E52" s="7">
        <v>79.5</v>
      </c>
      <c r="F52" s="10">
        <v>52.7</v>
      </c>
    </row>
    <row r="53" spans="1:6" x14ac:dyDescent="0.15">
      <c r="A53" s="6">
        <v>49</v>
      </c>
      <c r="B53" s="7">
        <v>13.4</v>
      </c>
      <c r="C53" s="8">
        <v>45</v>
      </c>
      <c r="D53" s="9">
        <v>135.75</v>
      </c>
      <c r="E53" s="7">
        <v>83.4</v>
      </c>
      <c r="F53" s="10">
        <v>52</v>
      </c>
    </row>
    <row r="54" spans="1:6" x14ac:dyDescent="0.15">
      <c r="A54" s="11">
        <v>50</v>
      </c>
      <c r="B54" s="12">
        <v>5</v>
      </c>
      <c r="C54" s="13">
        <v>47</v>
      </c>
      <c r="D54" s="14">
        <v>127.5</v>
      </c>
      <c r="E54" s="12">
        <v>70.400000000000006</v>
      </c>
      <c r="F54" s="15">
        <v>50.6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1A62-90CC-F241-B4CA-F684E6680957}">
  <dimension ref="A2:O54"/>
  <sheetViews>
    <sheetView topLeftCell="F14" workbookViewId="0">
      <selection activeCell="J8" sqref="J8"/>
    </sheetView>
  </sheetViews>
  <sheetFormatPr baseColWidth="10" defaultColWidth="11.5" defaultRowHeight="13" x14ac:dyDescent="0.15"/>
  <cols>
    <col min="7" max="7" width="19.1640625" bestFit="1" customWidth="1"/>
    <col min="8" max="8" width="16.83203125" customWidth="1"/>
    <col min="9" max="10" width="20.83203125" customWidth="1"/>
    <col min="11" max="11" width="17" customWidth="1"/>
    <col min="12" max="12" width="17.83203125" customWidth="1"/>
    <col min="13" max="13" width="17.1640625" customWidth="1"/>
    <col min="14" max="14" width="18.1640625" customWidth="1"/>
    <col min="15" max="15" width="18.33203125" customWidth="1"/>
  </cols>
  <sheetData>
    <row r="2" spans="1:12" ht="16" x14ac:dyDescent="0.2">
      <c r="A2" s="16" t="s">
        <v>0</v>
      </c>
    </row>
    <row r="4" spans="1:12" x14ac:dyDescent="0.15">
      <c r="A4" s="17" t="s">
        <v>1</v>
      </c>
      <c r="B4" s="18" t="s">
        <v>2</v>
      </c>
      <c r="C4" s="18" t="s">
        <v>4</v>
      </c>
      <c r="D4" s="18" t="s">
        <v>8</v>
      </c>
      <c r="E4" s="19" t="s">
        <v>10</v>
      </c>
      <c r="G4" t="s">
        <v>12</v>
      </c>
    </row>
    <row r="5" spans="1:12" ht="14" thickBot="1" x14ac:dyDescent="0.2">
      <c r="A5" s="1">
        <v>1</v>
      </c>
      <c r="B5" s="2">
        <v>12.6</v>
      </c>
      <c r="C5" s="4">
        <v>154.25</v>
      </c>
      <c r="D5" s="2">
        <v>85.2</v>
      </c>
      <c r="E5" s="5">
        <v>59</v>
      </c>
    </row>
    <row r="6" spans="1:12" x14ac:dyDescent="0.15">
      <c r="A6" s="6">
        <v>2</v>
      </c>
      <c r="B6" s="7">
        <v>6.9</v>
      </c>
      <c r="C6" s="9">
        <v>173.25</v>
      </c>
      <c r="D6" s="7">
        <v>83</v>
      </c>
      <c r="E6" s="10">
        <v>58.7</v>
      </c>
      <c r="G6" s="139" t="s">
        <v>14</v>
      </c>
      <c r="H6" s="139"/>
    </row>
    <row r="7" spans="1:12" x14ac:dyDescent="0.15">
      <c r="A7" s="6">
        <v>3</v>
      </c>
      <c r="B7" s="7">
        <v>24.6</v>
      </c>
      <c r="C7" s="9">
        <v>154</v>
      </c>
      <c r="D7" s="7">
        <v>87.9</v>
      </c>
      <c r="E7" s="10">
        <v>59.6</v>
      </c>
      <c r="G7" t="s">
        <v>15</v>
      </c>
      <c r="H7">
        <v>0.90984456976383044</v>
      </c>
    </row>
    <row r="8" spans="1:12" x14ac:dyDescent="0.15">
      <c r="A8" s="6">
        <v>4</v>
      </c>
      <c r="B8" s="7">
        <v>10.9</v>
      </c>
      <c r="C8" s="9">
        <v>184.75</v>
      </c>
      <c r="D8" s="7">
        <v>86.4</v>
      </c>
      <c r="E8" s="10">
        <v>60.1</v>
      </c>
      <c r="G8" t="s">
        <v>16</v>
      </c>
      <c r="H8">
        <v>0.82781714112872962</v>
      </c>
    </row>
    <row r="9" spans="1:12" x14ac:dyDescent="0.15">
      <c r="A9" s="6">
        <v>5</v>
      </c>
      <c r="B9" s="7">
        <v>27.8</v>
      </c>
      <c r="C9" s="9">
        <v>184.25</v>
      </c>
      <c r="D9" s="7">
        <v>100</v>
      </c>
      <c r="E9" s="10">
        <v>63.2</v>
      </c>
      <c r="G9" t="s">
        <v>17</v>
      </c>
      <c r="H9" s="116">
        <v>0.81658782424582099</v>
      </c>
    </row>
    <row r="10" spans="1:12" x14ac:dyDescent="0.15">
      <c r="A10" s="6">
        <v>6</v>
      </c>
      <c r="B10" s="7">
        <v>20.6</v>
      </c>
      <c r="C10" s="9">
        <v>210.25</v>
      </c>
      <c r="D10" s="7">
        <v>94.4</v>
      </c>
      <c r="E10" s="10">
        <v>66</v>
      </c>
      <c r="G10" t="s">
        <v>18</v>
      </c>
      <c r="H10">
        <v>3.8892174810806002</v>
      </c>
    </row>
    <row r="11" spans="1:12" ht="14" thickBot="1" x14ac:dyDescent="0.2">
      <c r="A11" s="6">
        <v>7</v>
      </c>
      <c r="B11" s="7">
        <v>19</v>
      </c>
      <c r="C11" s="9">
        <v>181</v>
      </c>
      <c r="D11" s="7">
        <v>90.7</v>
      </c>
      <c r="E11" s="10">
        <v>58.4</v>
      </c>
      <c r="G11" s="137" t="s">
        <v>19</v>
      </c>
      <c r="H11" s="137">
        <v>50</v>
      </c>
    </row>
    <row r="12" spans="1:12" x14ac:dyDescent="0.15">
      <c r="A12" s="6">
        <v>8</v>
      </c>
      <c r="B12" s="7">
        <v>12.8</v>
      </c>
      <c r="C12" s="9">
        <v>176</v>
      </c>
      <c r="D12" s="7">
        <v>88.5</v>
      </c>
      <c r="E12" s="10">
        <v>60</v>
      </c>
    </row>
    <row r="13" spans="1:12" ht="14" thickBot="1" x14ac:dyDescent="0.2">
      <c r="A13" s="6">
        <v>9</v>
      </c>
      <c r="B13" s="7">
        <v>5.0999999999999996</v>
      </c>
      <c r="C13" s="9">
        <v>191</v>
      </c>
      <c r="D13" s="7">
        <v>82.5</v>
      </c>
      <c r="E13" s="10">
        <v>62.9</v>
      </c>
      <c r="G13" t="s">
        <v>20</v>
      </c>
    </row>
    <row r="14" spans="1:12" x14ac:dyDescent="0.15">
      <c r="A14" s="6">
        <v>10</v>
      </c>
      <c r="B14" s="7">
        <v>12</v>
      </c>
      <c r="C14" s="9">
        <v>198.25</v>
      </c>
      <c r="D14" s="7">
        <v>88.6</v>
      </c>
      <c r="E14" s="10">
        <v>63.1</v>
      </c>
      <c r="G14" s="138"/>
      <c r="H14" s="138" t="s">
        <v>21</v>
      </c>
      <c r="I14" s="138" t="s">
        <v>22</v>
      </c>
      <c r="J14" s="138" t="s">
        <v>23</v>
      </c>
      <c r="K14" s="138" t="s">
        <v>24</v>
      </c>
      <c r="L14" s="138" t="s">
        <v>25</v>
      </c>
    </row>
    <row r="15" spans="1:12" x14ac:dyDescent="0.15">
      <c r="A15" s="6">
        <v>11</v>
      </c>
      <c r="B15" s="7">
        <v>7.5</v>
      </c>
      <c r="C15" s="9">
        <v>186.25</v>
      </c>
      <c r="D15" s="7">
        <v>83.6</v>
      </c>
      <c r="E15" s="10">
        <v>59.7</v>
      </c>
      <c r="G15" t="s">
        <v>26</v>
      </c>
      <c r="H15">
        <v>3</v>
      </c>
      <c r="I15">
        <v>3345.2362197034258</v>
      </c>
      <c r="J15">
        <v>1115.0787399011419</v>
      </c>
      <c r="K15">
        <v>73.719278720210525</v>
      </c>
      <c r="L15">
        <v>1.3455637319313583E-17</v>
      </c>
    </row>
    <row r="16" spans="1:12" x14ac:dyDescent="0.15">
      <c r="A16" s="6">
        <v>12</v>
      </c>
      <c r="B16" s="7">
        <v>8.5</v>
      </c>
      <c r="C16" s="9">
        <v>216</v>
      </c>
      <c r="D16" s="7">
        <v>90.9</v>
      </c>
      <c r="E16" s="10">
        <v>66.2</v>
      </c>
      <c r="G16" t="s">
        <v>27</v>
      </c>
      <c r="H16">
        <v>46</v>
      </c>
      <c r="I16">
        <v>695.79658029657469</v>
      </c>
      <c r="J16">
        <v>15.126012615142928</v>
      </c>
    </row>
    <row r="17" spans="1:15" ht="14" thickBot="1" x14ac:dyDescent="0.2">
      <c r="A17" s="6">
        <v>13</v>
      </c>
      <c r="B17" s="7">
        <v>20.5</v>
      </c>
      <c r="C17" s="9">
        <v>180.5</v>
      </c>
      <c r="D17" s="7">
        <v>91.6</v>
      </c>
      <c r="E17" s="10">
        <v>63.4</v>
      </c>
      <c r="G17" s="137" t="s">
        <v>28</v>
      </c>
      <c r="H17" s="137">
        <v>49</v>
      </c>
      <c r="I17" s="137">
        <v>4041.0328000000004</v>
      </c>
      <c r="J17" s="137"/>
      <c r="K17" s="137"/>
      <c r="L17" s="137"/>
    </row>
    <row r="18" spans="1:15" ht="14" thickBot="1" x14ac:dyDescent="0.2">
      <c r="A18" s="6">
        <v>14</v>
      </c>
      <c r="B18" s="7">
        <v>20.8</v>
      </c>
      <c r="C18" s="9">
        <v>205.25</v>
      </c>
      <c r="D18" s="7">
        <v>101.8</v>
      </c>
      <c r="E18" s="10">
        <v>66</v>
      </c>
    </row>
    <row r="19" spans="1:15" x14ac:dyDescent="0.15">
      <c r="A19" s="6">
        <v>15</v>
      </c>
      <c r="B19" s="7">
        <v>21.7</v>
      </c>
      <c r="C19" s="9">
        <v>187.75</v>
      </c>
      <c r="D19" s="7">
        <v>96.4</v>
      </c>
      <c r="E19" s="10">
        <v>69</v>
      </c>
      <c r="G19" s="138"/>
      <c r="H19" s="138" t="s">
        <v>29</v>
      </c>
      <c r="I19" s="138" t="s">
        <v>18</v>
      </c>
      <c r="J19" s="138" t="s">
        <v>30</v>
      </c>
      <c r="K19" s="138" t="s">
        <v>31</v>
      </c>
      <c r="L19" s="138" t="s">
        <v>32</v>
      </c>
      <c r="M19" s="138" t="s">
        <v>33</v>
      </c>
      <c r="N19" s="138" t="s">
        <v>34</v>
      </c>
      <c r="O19" s="138" t="s">
        <v>35</v>
      </c>
    </row>
    <row r="20" spans="1:15" x14ac:dyDescent="0.15">
      <c r="A20" s="6">
        <v>16</v>
      </c>
      <c r="B20" s="7">
        <v>20.5</v>
      </c>
      <c r="C20" s="9">
        <v>162.75</v>
      </c>
      <c r="D20" s="7">
        <v>92.8</v>
      </c>
      <c r="E20" s="10">
        <v>63.1</v>
      </c>
      <c r="G20" t="s">
        <v>36</v>
      </c>
      <c r="H20">
        <v>-59.002121168044965</v>
      </c>
      <c r="I20">
        <v>8.2993371256341888</v>
      </c>
      <c r="J20">
        <v>-7.1092570737733896</v>
      </c>
      <c r="K20">
        <v>6.2495058047319961E-9</v>
      </c>
      <c r="L20">
        <v>-75.707820342182657</v>
      </c>
      <c r="M20">
        <v>-42.296421993907273</v>
      </c>
      <c r="N20">
        <v>-75.707820342182657</v>
      </c>
      <c r="O20">
        <v>-42.296421993907273</v>
      </c>
    </row>
    <row r="21" spans="1:15" x14ac:dyDescent="0.15">
      <c r="A21" s="6">
        <v>17</v>
      </c>
      <c r="B21" s="7">
        <v>28.1</v>
      </c>
      <c r="C21" s="9">
        <v>195.75</v>
      </c>
      <c r="D21" s="7">
        <v>96.4</v>
      </c>
      <c r="E21" s="10">
        <v>64.8</v>
      </c>
      <c r="G21" s="127" t="s">
        <v>4</v>
      </c>
      <c r="H21" s="29">
        <v>-0.27707951218021576</v>
      </c>
      <c r="I21">
        <v>4.5842381736495907E-2</v>
      </c>
      <c r="J21">
        <v>-6.0441779350139653</v>
      </c>
      <c r="K21">
        <v>2.4861440948606452E-7</v>
      </c>
      <c r="L21">
        <v>-0.36935544062159281</v>
      </c>
      <c r="M21">
        <v>-0.18480358373883871</v>
      </c>
      <c r="N21">
        <v>-0.36935544062159281</v>
      </c>
      <c r="O21">
        <v>-0.18480358373883871</v>
      </c>
    </row>
    <row r="22" spans="1:15" x14ac:dyDescent="0.15">
      <c r="A22" s="6">
        <v>18</v>
      </c>
      <c r="B22" s="7">
        <v>22.4</v>
      </c>
      <c r="C22" s="9">
        <v>209.25</v>
      </c>
      <c r="D22" s="7">
        <v>97.5</v>
      </c>
      <c r="E22" s="10">
        <v>66.900000000000006</v>
      </c>
      <c r="G22" s="127" t="s">
        <v>8</v>
      </c>
      <c r="H22" s="29">
        <v>0.95026655045358233</v>
      </c>
      <c r="I22">
        <v>9.742659898732077E-2</v>
      </c>
      <c r="J22">
        <v>9.75366645588492</v>
      </c>
      <c r="K22">
        <v>8.9428513572785807E-13</v>
      </c>
      <c r="L22">
        <v>0.75415697813431615</v>
      </c>
      <c r="M22">
        <v>1.1463761227728484</v>
      </c>
      <c r="N22">
        <v>0.75415697813431615</v>
      </c>
      <c r="O22">
        <v>1.1463761227728484</v>
      </c>
    </row>
    <row r="23" spans="1:15" ht="14" thickBot="1" x14ac:dyDescent="0.2">
      <c r="A23" s="6">
        <v>19</v>
      </c>
      <c r="B23" s="7">
        <v>16.100000000000001</v>
      </c>
      <c r="C23" s="9">
        <v>183.75</v>
      </c>
      <c r="D23" s="7">
        <v>89.6</v>
      </c>
      <c r="E23" s="10">
        <v>64.2</v>
      </c>
      <c r="G23" s="142" t="s">
        <v>10</v>
      </c>
      <c r="H23" s="26">
        <v>0.65142611201185419</v>
      </c>
      <c r="I23" s="137">
        <v>0.24403220304188</v>
      </c>
      <c r="J23" s="137">
        <v>2.6694268374902084</v>
      </c>
      <c r="K23" s="137">
        <v>1.0463323027316134E-2</v>
      </c>
      <c r="L23" s="137">
        <v>0.16021476451424121</v>
      </c>
      <c r="M23" s="137">
        <v>1.1426374595094673</v>
      </c>
      <c r="N23" s="137">
        <v>0.16021476451424121</v>
      </c>
      <c r="O23" s="137">
        <v>1.1426374595094673</v>
      </c>
    </row>
    <row r="24" spans="1:15" x14ac:dyDescent="0.15">
      <c r="A24" s="6">
        <v>20</v>
      </c>
      <c r="B24" s="7">
        <v>16.5</v>
      </c>
      <c r="C24" s="9">
        <v>211.75</v>
      </c>
      <c r="D24" s="7">
        <v>100.5</v>
      </c>
      <c r="E24" s="10">
        <v>65.8</v>
      </c>
    </row>
    <row r="25" spans="1:15" x14ac:dyDescent="0.15">
      <c r="A25" s="6">
        <v>21</v>
      </c>
      <c r="B25" s="7">
        <v>19</v>
      </c>
      <c r="C25" s="9">
        <v>179</v>
      </c>
      <c r="D25" s="7">
        <v>95.9</v>
      </c>
      <c r="E25" s="10">
        <v>63.5</v>
      </c>
    </row>
    <row r="26" spans="1:15" x14ac:dyDescent="0.15">
      <c r="A26" s="6">
        <v>22</v>
      </c>
      <c r="B26" s="7">
        <v>15.3</v>
      </c>
      <c r="C26" s="9">
        <v>200.5</v>
      </c>
      <c r="D26" s="7">
        <v>98.8</v>
      </c>
      <c r="E26" s="10">
        <v>63.4</v>
      </c>
    </row>
    <row r="27" spans="1:15" x14ac:dyDescent="0.15">
      <c r="A27" s="6">
        <v>23</v>
      </c>
      <c r="B27" s="7">
        <v>15.7</v>
      </c>
      <c r="C27" s="9">
        <v>140.25</v>
      </c>
      <c r="D27" s="7">
        <v>76.400000000000006</v>
      </c>
      <c r="E27" s="10">
        <v>57.4</v>
      </c>
    </row>
    <row r="28" spans="1:15" x14ac:dyDescent="0.15">
      <c r="A28" s="6">
        <v>24</v>
      </c>
      <c r="B28" s="7">
        <v>17.600000000000001</v>
      </c>
      <c r="C28" s="9">
        <v>148.75</v>
      </c>
      <c r="D28" s="7">
        <v>80</v>
      </c>
      <c r="E28" s="10">
        <v>54.9</v>
      </c>
    </row>
    <row r="29" spans="1:15" x14ac:dyDescent="0.15">
      <c r="A29" s="6">
        <v>25</v>
      </c>
      <c r="B29" s="7">
        <v>14.2</v>
      </c>
      <c r="C29" s="9">
        <v>151.25</v>
      </c>
      <c r="D29" s="7">
        <v>76.3</v>
      </c>
      <c r="E29" s="10">
        <v>58.4</v>
      </c>
    </row>
    <row r="30" spans="1:15" x14ac:dyDescent="0.15">
      <c r="A30" s="6">
        <v>26</v>
      </c>
      <c r="B30" s="7">
        <v>4.5999999999999996</v>
      </c>
      <c r="C30" s="9">
        <v>159.25</v>
      </c>
      <c r="D30" s="7">
        <v>79.7</v>
      </c>
      <c r="E30" s="10">
        <v>55</v>
      </c>
    </row>
    <row r="31" spans="1:15" x14ac:dyDescent="0.15">
      <c r="A31" s="6">
        <v>27</v>
      </c>
      <c r="B31" s="7">
        <v>8.5</v>
      </c>
      <c r="C31" s="9">
        <v>131.5</v>
      </c>
      <c r="D31" s="7">
        <v>74.599999999999994</v>
      </c>
      <c r="E31" s="10">
        <v>51.7</v>
      </c>
    </row>
    <row r="32" spans="1:15" x14ac:dyDescent="0.15">
      <c r="A32" s="6">
        <v>28</v>
      </c>
      <c r="B32" s="7">
        <v>22.4</v>
      </c>
      <c r="C32" s="9">
        <v>148</v>
      </c>
      <c r="D32" s="7">
        <v>88.7</v>
      </c>
      <c r="E32" s="10">
        <v>57.5</v>
      </c>
    </row>
    <row r="33" spans="1:5" x14ac:dyDescent="0.15">
      <c r="A33" s="6">
        <v>29</v>
      </c>
      <c r="B33" s="7">
        <v>4.7</v>
      </c>
      <c r="C33" s="9">
        <v>133.25</v>
      </c>
      <c r="D33" s="7">
        <v>73.900000000000006</v>
      </c>
      <c r="E33" s="10">
        <v>50.1</v>
      </c>
    </row>
    <row r="34" spans="1:5" x14ac:dyDescent="0.15">
      <c r="A34" s="6">
        <v>30</v>
      </c>
      <c r="B34" s="7">
        <v>9.4</v>
      </c>
      <c r="C34" s="9">
        <v>160.75</v>
      </c>
      <c r="D34" s="7">
        <v>83.5</v>
      </c>
      <c r="E34" s="10">
        <v>58.9</v>
      </c>
    </row>
    <row r="35" spans="1:5" x14ac:dyDescent="0.15">
      <c r="A35" s="6">
        <v>31</v>
      </c>
      <c r="B35" s="7">
        <v>12.3</v>
      </c>
      <c r="C35" s="9">
        <v>182</v>
      </c>
      <c r="D35" s="7">
        <v>88.7</v>
      </c>
      <c r="E35" s="10">
        <v>57.5</v>
      </c>
    </row>
    <row r="36" spans="1:5" x14ac:dyDescent="0.15">
      <c r="A36" s="6">
        <v>32</v>
      </c>
      <c r="B36" s="7">
        <v>6.5</v>
      </c>
      <c r="C36" s="9">
        <v>160.25</v>
      </c>
      <c r="D36" s="7">
        <v>84.5</v>
      </c>
      <c r="E36" s="10">
        <v>58.5</v>
      </c>
    </row>
    <row r="37" spans="1:5" x14ac:dyDescent="0.15">
      <c r="A37" s="6">
        <v>33</v>
      </c>
      <c r="B37" s="7">
        <v>13.4</v>
      </c>
      <c r="C37" s="9">
        <v>168</v>
      </c>
      <c r="D37" s="7">
        <v>79.099999999999994</v>
      </c>
      <c r="E37" s="10">
        <v>57.3</v>
      </c>
    </row>
    <row r="38" spans="1:5" x14ac:dyDescent="0.15">
      <c r="A38" s="6">
        <v>34</v>
      </c>
      <c r="B38" s="7">
        <v>20.9</v>
      </c>
      <c r="C38" s="9">
        <v>218.5</v>
      </c>
      <c r="D38" s="7">
        <v>100.5</v>
      </c>
      <c r="E38" s="10">
        <v>67.099999999999994</v>
      </c>
    </row>
    <row r="39" spans="1:5" x14ac:dyDescent="0.15">
      <c r="A39" s="6">
        <v>35</v>
      </c>
      <c r="B39" s="7">
        <v>31.1</v>
      </c>
      <c r="C39" s="9">
        <v>247.25</v>
      </c>
      <c r="D39" s="7">
        <v>115.6</v>
      </c>
      <c r="E39" s="10">
        <v>71.2</v>
      </c>
    </row>
    <row r="40" spans="1:5" x14ac:dyDescent="0.15">
      <c r="A40" s="6">
        <v>36</v>
      </c>
      <c r="B40" s="7">
        <v>38.200000000000003</v>
      </c>
      <c r="C40" s="9">
        <v>191.75</v>
      </c>
      <c r="D40" s="7">
        <v>113.1</v>
      </c>
      <c r="E40" s="10">
        <v>61.9</v>
      </c>
    </row>
    <row r="41" spans="1:5" x14ac:dyDescent="0.15">
      <c r="A41" s="6">
        <v>37</v>
      </c>
      <c r="B41" s="7">
        <v>23.6</v>
      </c>
      <c r="C41" s="9">
        <v>202.25</v>
      </c>
      <c r="D41" s="7">
        <v>100.9</v>
      </c>
      <c r="E41" s="10">
        <v>63.5</v>
      </c>
    </row>
    <row r="42" spans="1:5" x14ac:dyDescent="0.15">
      <c r="A42" s="6">
        <v>38</v>
      </c>
      <c r="B42" s="7">
        <v>27.5</v>
      </c>
      <c r="C42" s="9">
        <v>196.75</v>
      </c>
      <c r="D42" s="7">
        <v>98.8</v>
      </c>
      <c r="E42" s="10">
        <v>66</v>
      </c>
    </row>
    <row r="43" spans="1:5" x14ac:dyDescent="0.15">
      <c r="A43" s="6">
        <v>39</v>
      </c>
      <c r="B43" s="7">
        <v>33.799999999999997</v>
      </c>
      <c r="C43" s="9">
        <v>363.15</v>
      </c>
      <c r="D43" s="7">
        <v>148.1</v>
      </c>
      <c r="E43" s="10">
        <v>87.3</v>
      </c>
    </row>
    <row r="44" spans="1:5" x14ac:dyDescent="0.15">
      <c r="A44" s="6">
        <v>40</v>
      </c>
      <c r="B44" s="7">
        <v>31.3</v>
      </c>
      <c r="C44" s="9">
        <v>203</v>
      </c>
      <c r="D44" s="7">
        <v>108.1</v>
      </c>
      <c r="E44" s="10">
        <v>61.3</v>
      </c>
    </row>
    <row r="45" spans="1:5" x14ac:dyDescent="0.15">
      <c r="A45" s="6">
        <v>41</v>
      </c>
      <c r="B45" s="7">
        <v>33.1</v>
      </c>
      <c r="C45" s="9">
        <v>262.75</v>
      </c>
      <c r="D45" s="7">
        <v>126.2</v>
      </c>
      <c r="E45" s="10">
        <v>72.5</v>
      </c>
    </row>
    <row r="46" spans="1:5" x14ac:dyDescent="0.15">
      <c r="A46" s="6">
        <v>42</v>
      </c>
      <c r="B46" s="7">
        <v>31.7</v>
      </c>
      <c r="C46" s="9">
        <v>205</v>
      </c>
      <c r="D46" s="7">
        <v>104.3</v>
      </c>
      <c r="E46" s="10">
        <v>70.599999999999994</v>
      </c>
    </row>
    <row r="47" spans="1:5" x14ac:dyDescent="0.15">
      <c r="A47" s="6">
        <v>43</v>
      </c>
      <c r="B47" s="7">
        <v>30.4</v>
      </c>
      <c r="C47" s="9">
        <v>217</v>
      </c>
      <c r="D47" s="7">
        <v>111.2</v>
      </c>
      <c r="E47" s="10">
        <v>67.7</v>
      </c>
    </row>
    <row r="48" spans="1:5" x14ac:dyDescent="0.15">
      <c r="A48" s="6">
        <v>44</v>
      </c>
      <c r="B48" s="7">
        <v>30.8</v>
      </c>
      <c r="C48" s="9">
        <v>212</v>
      </c>
      <c r="D48" s="7">
        <v>104.3</v>
      </c>
      <c r="E48" s="10">
        <v>65</v>
      </c>
    </row>
    <row r="49" spans="1:5" x14ac:dyDescent="0.15">
      <c r="A49" s="6">
        <v>45</v>
      </c>
      <c r="B49" s="7">
        <v>8.4</v>
      </c>
      <c r="C49" s="9">
        <v>125.25</v>
      </c>
      <c r="D49" s="7">
        <v>76</v>
      </c>
      <c r="E49" s="10">
        <v>50</v>
      </c>
    </row>
    <row r="50" spans="1:5" x14ac:dyDescent="0.15">
      <c r="A50" s="6">
        <v>46</v>
      </c>
      <c r="B50" s="7">
        <v>14.1</v>
      </c>
      <c r="C50" s="9">
        <v>164.25</v>
      </c>
      <c r="D50" s="7">
        <v>81.5</v>
      </c>
      <c r="E50" s="10">
        <v>58.4</v>
      </c>
    </row>
    <row r="51" spans="1:5" x14ac:dyDescent="0.15">
      <c r="A51" s="6">
        <v>47</v>
      </c>
      <c r="B51" s="7">
        <v>11.2</v>
      </c>
      <c r="C51" s="9">
        <v>133.5</v>
      </c>
      <c r="D51" s="7">
        <v>73.7</v>
      </c>
      <c r="E51" s="10">
        <v>53.3</v>
      </c>
    </row>
    <row r="52" spans="1:5" x14ac:dyDescent="0.15">
      <c r="A52" s="6">
        <v>48</v>
      </c>
      <c r="B52" s="7">
        <v>6.4</v>
      </c>
      <c r="C52" s="9">
        <v>148.5</v>
      </c>
      <c r="D52" s="7">
        <v>79.5</v>
      </c>
      <c r="E52" s="10">
        <v>52.7</v>
      </c>
    </row>
    <row r="53" spans="1:5" x14ac:dyDescent="0.15">
      <c r="A53" s="6">
        <v>49</v>
      </c>
      <c r="B53" s="7">
        <v>13.4</v>
      </c>
      <c r="C53" s="9">
        <v>135.75</v>
      </c>
      <c r="D53" s="7">
        <v>83.4</v>
      </c>
      <c r="E53" s="10">
        <v>52</v>
      </c>
    </row>
    <row r="54" spans="1:5" x14ac:dyDescent="0.15">
      <c r="A54" s="11">
        <v>50</v>
      </c>
      <c r="B54" s="12">
        <v>5</v>
      </c>
      <c r="C54" s="14">
        <v>127.5</v>
      </c>
      <c r="D54" s="12">
        <v>70.400000000000006</v>
      </c>
      <c r="E54" s="15">
        <v>50.6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5F72B-1A0B-4165-863C-034DE460453F}">
  <dimension ref="A2:U54"/>
  <sheetViews>
    <sheetView topLeftCell="Q1" workbookViewId="0">
      <selection activeCell="U9" sqref="U9"/>
    </sheetView>
  </sheetViews>
  <sheetFormatPr baseColWidth="10" defaultColWidth="8.83203125" defaultRowHeight="13" x14ac:dyDescent="0.15"/>
  <cols>
    <col min="13" max="13" width="19.1640625" bestFit="1" customWidth="1"/>
    <col min="14" max="14" width="19" customWidth="1"/>
    <col min="15" max="15" width="16" customWidth="1"/>
    <col min="16" max="16" width="15.5" customWidth="1"/>
    <col min="17" max="17" width="16.5" customWidth="1"/>
    <col min="18" max="18" width="16.83203125" customWidth="1"/>
    <col min="19" max="19" width="18.5" customWidth="1"/>
    <col min="20" max="20" width="17" customWidth="1"/>
    <col min="21" max="21" width="13.83203125" customWidth="1"/>
  </cols>
  <sheetData>
    <row r="2" spans="1:18" ht="16" x14ac:dyDescent="0.2">
      <c r="A2" s="16" t="s">
        <v>0</v>
      </c>
      <c r="M2" s="143"/>
    </row>
    <row r="4" spans="1:18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8" t="s">
        <v>9</v>
      </c>
      <c r="J4" s="18" t="s">
        <v>10</v>
      </c>
      <c r="K4" s="18" t="s">
        <v>3</v>
      </c>
      <c r="M4" t="s">
        <v>12</v>
      </c>
    </row>
    <row r="5" spans="1:18" x14ac:dyDescent="0.15">
      <c r="A5" s="1">
        <v>1</v>
      </c>
      <c r="B5" s="2">
        <v>12.6</v>
      </c>
      <c r="C5" s="3">
        <v>23</v>
      </c>
      <c r="D5" s="4">
        <v>154.25</v>
      </c>
      <c r="E5" s="4">
        <v>67.75</v>
      </c>
      <c r="F5" s="2">
        <v>36.200000000000003</v>
      </c>
      <c r="G5" s="2">
        <v>93.1</v>
      </c>
      <c r="H5" s="2">
        <v>85.2</v>
      </c>
      <c r="I5" s="2">
        <v>94.5</v>
      </c>
      <c r="J5" s="2">
        <v>59</v>
      </c>
      <c r="K5" s="101">
        <f>IF(C5&gt;30,1,0)</f>
        <v>0</v>
      </c>
    </row>
    <row r="6" spans="1:18" x14ac:dyDescent="0.15">
      <c r="A6" s="6">
        <v>2</v>
      </c>
      <c r="B6" s="7">
        <v>6.9</v>
      </c>
      <c r="C6" s="8">
        <v>22</v>
      </c>
      <c r="D6" s="9">
        <v>173.25</v>
      </c>
      <c r="E6" s="9">
        <v>72.25</v>
      </c>
      <c r="F6" s="7">
        <v>38.5</v>
      </c>
      <c r="G6" s="7">
        <v>93.6</v>
      </c>
      <c r="H6" s="7">
        <v>83</v>
      </c>
      <c r="I6" s="7">
        <v>98.7</v>
      </c>
      <c r="J6" s="7">
        <v>58.7</v>
      </c>
      <c r="K6" s="101">
        <f t="shared" ref="K6:K54" si="0">IF(C6&gt;30,1,0)</f>
        <v>0</v>
      </c>
      <c r="M6" s="249" t="s">
        <v>14</v>
      </c>
      <c r="N6" s="249"/>
    </row>
    <row r="7" spans="1:18" x14ac:dyDescent="0.15">
      <c r="A7" s="6">
        <v>3</v>
      </c>
      <c r="B7" s="7">
        <v>24.6</v>
      </c>
      <c r="C7" s="8">
        <v>22</v>
      </c>
      <c r="D7" s="9">
        <v>154</v>
      </c>
      <c r="E7" s="9">
        <v>66.25</v>
      </c>
      <c r="F7" s="7">
        <v>34</v>
      </c>
      <c r="G7" s="7">
        <v>95.8</v>
      </c>
      <c r="H7" s="7">
        <v>87.9</v>
      </c>
      <c r="I7" s="7">
        <v>99.2</v>
      </c>
      <c r="J7" s="7">
        <v>59.6</v>
      </c>
      <c r="K7" s="101">
        <f t="shared" si="0"/>
        <v>0</v>
      </c>
      <c r="M7" t="s">
        <v>15</v>
      </c>
      <c r="N7">
        <v>0.92101940906249202</v>
      </c>
    </row>
    <row r="8" spans="1:18" x14ac:dyDescent="0.15">
      <c r="A8" s="6">
        <v>4</v>
      </c>
      <c r="B8" s="7">
        <v>10.9</v>
      </c>
      <c r="C8" s="8">
        <v>26</v>
      </c>
      <c r="D8" s="9">
        <v>184.75</v>
      </c>
      <c r="E8" s="9">
        <v>72.25</v>
      </c>
      <c r="F8" s="7">
        <v>37.4</v>
      </c>
      <c r="G8" s="7">
        <v>101.8</v>
      </c>
      <c r="H8" s="7">
        <v>86.4</v>
      </c>
      <c r="I8" s="7">
        <v>101.2</v>
      </c>
      <c r="J8" s="7">
        <v>60.1</v>
      </c>
      <c r="K8" s="101">
        <f t="shared" si="0"/>
        <v>0</v>
      </c>
      <c r="M8" t="s">
        <v>16</v>
      </c>
      <c r="N8">
        <v>0.84827675186982199</v>
      </c>
    </row>
    <row r="9" spans="1:18" x14ac:dyDescent="0.15">
      <c r="A9" s="6">
        <v>5</v>
      </c>
      <c r="B9" s="7">
        <v>27.8</v>
      </c>
      <c r="C9" s="8">
        <v>24</v>
      </c>
      <c r="D9" s="9">
        <v>184.25</v>
      </c>
      <c r="E9" s="9">
        <v>71.25</v>
      </c>
      <c r="F9" s="7">
        <v>34.4</v>
      </c>
      <c r="G9" s="7">
        <v>97.3</v>
      </c>
      <c r="H9" s="7">
        <v>100</v>
      </c>
      <c r="I9" s="7">
        <v>101.9</v>
      </c>
      <c r="J9" s="7">
        <v>63.2</v>
      </c>
      <c r="K9" s="101">
        <f t="shared" si="0"/>
        <v>0</v>
      </c>
      <c r="M9" t="s">
        <v>17</v>
      </c>
      <c r="N9" s="116">
        <v>0.81867221564930004</v>
      </c>
    </row>
    <row r="10" spans="1:18" x14ac:dyDescent="0.15">
      <c r="A10" s="6">
        <v>6</v>
      </c>
      <c r="B10" s="7">
        <v>20.6</v>
      </c>
      <c r="C10" s="8">
        <v>24</v>
      </c>
      <c r="D10" s="9">
        <v>210.25</v>
      </c>
      <c r="E10" s="9">
        <v>74.75</v>
      </c>
      <c r="F10" s="7">
        <v>39</v>
      </c>
      <c r="G10" s="7">
        <v>104.5</v>
      </c>
      <c r="H10" s="7">
        <v>94.4</v>
      </c>
      <c r="I10" s="7">
        <v>107.8</v>
      </c>
      <c r="J10" s="7">
        <v>66</v>
      </c>
      <c r="K10" s="101">
        <f t="shared" si="0"/>
        <v>0</v>
      </c>
      <c r="M10" t="s">
        <v>18</v>
      </c>
      <c r="N10">
        <v>3.8670547884649702</v>
      </c>
    </row>
    <row r="11" spans="1:18" x14ac:dyDescent="0.15">
      <c r="A11" s="6">
        <v>7</v>
      </c>
      <c r="B11" s="7">
        <v>19</v>
      </c>
      <c r="C11" s="8">
        <v>26</v>
      </c>
      <c r="D11" s="9">
        <v>181</v>
      </c>
      <c r="E11" s="9">
        <v>69.75</v>
      </c>
      <c r="F11" s="7">
        <v>36.4</v>
      </c>
      <c r="G11" s="7">
        <v>105.1</v>
      </c>
      <c r="H11" s="7">
        <v>90.7</v>
      </c>
      <c r="I11" s="7">
        <v>100.3</v>
      </c>
      <c r="J11" s="7">
        <v>58.4</v>
      </c>
      <c r="K11" s="101">
        <f t="shared" si="0"/>
        <v>0</v>
      </c>
      <c r="M11" s="118" t="s">
        <v>19</v>
      </c>
      <c r="N11" s="118">
        <v>50</v>
      </c>
    </row>
    <row r="12" spans="1:18" x14ac:dyDescent="0.15">
      <c r="A12" s="6">
        <v>8</v>
      </c>
      <c r="B12" s="7">
        <v>12.8</v>
      </c>
      <c r="C12" s="8">
        <v>25</v>
      </c>
      <c r="D12" s="9">
        <v>176</v>
      </c>
      <c r="E12" s="9">
        <v>72.5</v>
      </c>
      <c r="F12" s="7">
        <v>37.799999999999997</v>
      </c>
      <c r="G12" s="7">
        <v>99.6</v>
      </c>
      <c r="H12" s="7">
        <v>88.5</v>
      </c>
      <c r="I12" s="7">
        <v>97.1</v>
      </c>
      <c r="J12" s="7">
        <v>60</v>
      </c>
      <c r="K12" s="101">
        <f t="shared" si="0"/>
        <v>0</v>
      </c>
    </row>
    <row r="13" spans="1:18" x14ac:dyDescent="0.15">
      <c r="A13" s="6">
        <v>9</v>
      </c>
      <c r="B13" s="7">
        <v>5.0999999999999996</v>
      </c>
      <c r="C13" s="8">
        <v>25</v>
      </c>
      <c r="D13" s="9">
        <v>191</v>
      </c>
      <c r="E13" s="9">
        <v>74</v>
      </c>
      <c r="F13" s="7">
        <v>38.1</v>
      </c>
      <c r="G13" s="7">
        <v>100.9</v>
      </c>
      <c r="H13" s="7">
        <v>82.5</v>
      </c>
      <c r="I13" s="7">
        <v>99.9</v>
      </c>
      <c r="J13" s="7">
        <v>62.9</v>
      </c>
      <c r="K13" s="101">
        <f t="shared" si="0"/>
        <v>0</v>
      </c>
      <c r="M13" t="s">
        <v>20</v>
      </c>
    </row>
    <row r="14" spans="1:18" x14ac:dyDescent="0.15">
      <c r="A14" s="6">
        <v>10</v>
      </c>
      <c r="B14" s="7">
        <v>12</v>
      </c>
      <c r="C14" s="8">
        <v>23</v>
      </c>
      <c r="D14" s="9">
        <v>198.25</v>
      </c>
      <c r="E14" s="9">
        <v>73.5</v>
      </c>
      <c r="F14" s="7">
        <v>42.1</v>
      </c>
      <c r="G14" s="7">
        <v>99.6</v>
      </c>
      <c r="H14" s="7">
        <v>88.6</v>
      </c>
      <c r="I14" s="7">
        <v>104.1</v>
      </c>
      <c r="J14" s="7">
        <v>63.1</v>
      </c>
      <c r="K14" s="101">
        <f t="shared" si="0"/>
        <v>0</v>
      </c>
      <c r="M14" s="147"/>
      <c r="N14" s="178" t="s">
        <v>21</v>
      </c>
      <c r="O14" s="178" t="s">
        <v>22</v>
      </c>
      <c r="P14" s="178" t="s">
        <v>23</v>
      </c>
      <c r="Q14" s="178" t="s">
        <v>24</v>
      </c>
      <c r="R14" s="178" t="s">
        <v>25</v>
      </c>
    </row>
    <row r="15" spans="1:18" x14ac:dyDescent="0.15">
      <c r="A15" s="6">
        <v>11</v>
      </c>
      <c r="B15" s="7">
        <v>7.5</v>
      </c>
      <c r="C15" s="8">
        <v>26</v>
      </c>
      <c r="D15" s="9">
        <v>186.25</v>
      </c>
      <c r="E15" s="9">
        <v>74.5</v>
      </c>
      <c r="F15" s="7">
        <v>38.5</v>
      </c>
      <c r="G15" s="7">
        <v>101.5</v>
      </c>
      <c r="H15" s="7">
        <v>83.6</v>
      </c>
      <c r="I15" s="7">
        <v>98.2</v>
      </c>
      <c r="J15" s="7">
        <v>59.7</v>
      </c>
      <c r="K15" s="101">
        <f t="shared" si="0"/>
        <v>0</v>
      </c>
      <c r="M15" t="s">
        <v>26</v>
      </c>
      <c r="N15">
        <v>8</v>
      </c>
      <c r="O15">
        <v>3427.9141777834102</v>
      </c>
      <c r="P15">
        <v>428.48927222292599</v>
      </c>
      <c r="Q15">
        <v>28.653607188812501</v>
      </c>
      <c r="R15" s="91">
        <v>1.9317880628477699E-14</v>
      </c>
    </row>
    <row r="16" spans="1:18" x14ac:dyDescent="0.15">
      <c r="A16" s="6">
        <v>12</v>
      </c>
      <c r="B16" s="7">
        <v>8.5</v>
      </c>
      <c r="C16" s="8">
        <v>27</v>
      </c>
      <c r="D16" s="9">
        <v>216</v>
      </c>
      <c r="E16" s="9">
        <v>76</v>
      </c>
      <c r="F16" s="7">
        <v>39.4</v>
      </c>
      <c r="G16" s="7">
        <v>103.6</v>
      </c>
      <c r="H16" s="7">
        <v>90.9</v>
      </c>
      <c r="I16" s="7">
        <v>107.7</v>
      </c>
      <c r="J16" s="7">
        <v>66.2</v>
      </c>
      <c r="K16" s="101">
        <f>IF(C16&gt;30,1,0)</f>
        <v>0</v>
      </c>
      <c r="M16" t="s">
        <v>27</v>
      </c>
      <c r="N16">
        <v>41</v>
      </c>
      <c r="O16">
        <v>613.118622216586</v>
      </c>
      <c r="P16">
        <v>14.954112736989901</v>
      </c>
    </row>
    <row r="17" spans="1:21" x14ac:dyDescent="0.15">
      <c r="A17" s="6">
        <v>13</v>
      </c>
      <c r="B17" s="7">
        <v>20.5</v>
      </c>
      <c r="C17" s="8">
        <v>32</v>
      </c>
      <c r="D17" s="9">
        <v>180.5</v>
      </c>
      <c r="E17" s="9">
        <v>69.5</v>
      </c>
      <c r="F17" s="7">
        <v>38.4</v>
      </c>
      <c r="G17" s="7">
        <v>102</v>
      </c>
      <c r="H17" s="7">
        <v>91.6</v>
      </c>
      <c r="I17" s="7">
        <v>103.9</v>
      </c>
      <c r="J17" s="7">
        <v>63.4</v>
      </c>
      <c r="K17" s="101">
        <f t="shared" si="0"/>
        <v>1</v>
      </c>
      <c r="M17" s="118" t="s">
        <v>28</v>
      </c>
      <c r="N17" s="118">
        <v>49</v>
      </c>
      <c r="O17" s="118">
        <v>4041.0328</v>
      </c>
      <c r="P17" s="118"/>
      <c r="Q17" s="118"/>
      <c r="R17" s="118"/>
    </row>
    <row r="18" spans="1:21" x14ac:dyDescent="0.15">
      <c r="A18" s="6">
        <v>14</v>
      </c>
      <c r="B18" s="7">
        <v>20.8</v>
      </c>
      <c r="C18" s="8">
        <v>30</v>
      </c>
      <c r="D18" s="9">
        <v>205.25</v>
      </c>
      <c r="E18" s="9">
        <v>71.25</v>
      </c>
      <c r="F18" s="7">
        <v>39.4</v>
      </c>
      <c r="G18" s="7">
        <v>104.1</v>
      </c>
      <c r="H18" s="7">
        <v>101.8</v>
      </c>
      <c r="I18" s="7">
        <v>108.6</v>
      </c>
      <c r="J18" s="7">
        <v>66</v>
      </c>
      <c r="K18" s="101">
        <f t="shared" si="0"/>
        <v>0</v>
      </c>
    </row>
    <row r="19" spans="1:21" x14ac:dyDescent="0.15">
      <c r="A19" s="6">
        <v>15</v>
      </c>
      <c r="B19" s="7">
        <v>21.7</v>
      </c>
      <c r="C19" s="8">
        <v>35</v>
      </c>
      <c r="D19" s="9">
        <v>187.75</v>
      </c>
      <c r="E19" s="9">
        <v>69.5</v>
      </c>
      <c r="F19" s="7">
        <v>40.5</v>
      </c>
      <c r="G19" s="7">
        <v>101.3</v>
      </c>
      <c r="H19" s="7">
        <v>96.4</v>
      </c>
      <c r="I19" s="7">
        <v>100.1</v>
      </c>
      <c r="J19" s="7">
        <v>69</v>
      </c>
      <c r="K19" s="101">
        <f t="shared" si="0"/>
        <v>1</v>
      </c>
      <c r="M19" s="178"/>
      <c r="N19" s="178" t="s">
        <v>29</v>
      </c>
      <c r="O19" s="178" t="s">
        <v>18</v>
      </c>
      <c r="P19" s="178" t="s">
        <v>30</v>
      </c>
      <c r="Q19" s="178" t="s">
        <v>31</v>
      </c>
      <c r="R19" s="178" t="s">
        <v>32</v>
      </c>
      <c r="S19" s="178" t="s">
        <v>33</v>
      </c>
      <c r="T19" s="178" t="s">
        <v>32</v>
      </c>
      <c r="U19" s="178" t="s">
        <v>33</v>
      </c>
    </row>
    <row r="20" spans="1:21" x14ac:dyDescent="0.15">
      <c r="A20" s="6">
        <v>16</v>
      </c>
      <c r="B20" s="7">
        <v>20.5</v>
      </c>
      <c r="C20" s="8">
        <v>35</v>
      </c>
      <c r="D20" s="9">
        <v>162.75</v>
      </c>
      <c r="E20" s="9">
        <v>66</v>
      </c>
      <c r="F20" s="7">
        <v>36.4</v>
      </c>
      <c r="G20" s="7">
        <v>99.1</v>
      </c>
      <c r="H20" s="7">
        <v>92.8</v>
      </c>
      <c r="I20" s="7">
        <v>99.2</v>
      </c>
      <c r="J20" s="7">
        <v>63.1</v>
      </c>
      <c r="K20" s="101">
        <f t="shared" si="0"/>
        <v>1</v>
      </c>
      <c r="M20" t="s">
        <v>36</v>
      </c>
      <c r="N20">
        <v>-35.153061242589096</v>
      </c>
      <c r="O20">
        <v>23.540481632575901</v>
      </c>
      <c r="P20">
        <v>-1.4933025496786501</v>
      </c>
      <c r="Q20">
        <v>0.14301431713263901</v>
      </c>
      <c r="R20">
        <v>-82.694027842142006</v>
      </c>
      <c r="S20">
        <v>12.387905356963801</v>
      </c>
      <c r="T20">
        <v>-82.694027842142006</v>
      </c>
      <c r="U20">
        <v>12.387905356963801</v>
      </c>
    </row>
    <row r="21" spans="1:21" x14ac:dyDescent="0.15">
      <c r="A21" s="6">
        <v>17</v>
      </c>
      <c r="B21" s="7">
        <v>28.1</v>
      </c>
      <c r="C21" s="8">
        <v>34</v>
      </c>
      <c r="D21" s="9">
        <v>195.75</v>
      </c>
      <c r="E21" s="9">
        <v>71</v>
      </c>
      <c r="F21" s="7">
        <v>38.9</v>
      </c>
      <c r="G21" s="7">
        <v>101.9</v>
      </c>
      <c r="H21" s="7">
        <v>96.4</v>
      </c>
      <c r="I21" s="7">
        <v>105.2</v>
      </c>
      <c r="J21" s="7">
        <v>64.8</v>
      </c>
      <c r="K21" s="101">
        <f t="shared" si="0"/>
        <v>1</v>
      </c>
      <c r="M21" t="s">
        <v>4</v>
      </c>
      <c r="N21">
        <v>-0.187103934273635</v>
      </c>
      <c r="O21">
        <v>7.6156279200961602E-2</v>
      </c>
      <c r="P21">
        <v>-2.4568418551529301</v>
      </c>
      <c r="Q21">
        <v>1.8337775683498599E-2</v>
      </c>
      <c r="R21">
        <v>-0.34090465858969798</v>
      </c>
      <c r="S21">
        <v>-3.3303209957572501E-2</v>
      </c>
      <c r="T21">
        <v>-0.34090465858969798</v>
      </c>
      <c r="U21">
        <v>-3.3303209957572501E-2</v>
      </c>
    </row>
    <row r="22" spans="1:21" x14ac:dyDescent="0.15">
      <c r="A22" s="6">
        <v>18</v>
      </c>
      <c r="B22" s="7">
        <v>22.4</v>
      </c>
      <c r="C22" s="8">
        <v>32</v>
      </c>
      <c r="D22" s="9">
        <v>209.25</v>
      </c>
      <c r="E22" s="9">
        <v>71</v>
      </c>
      <c r="F22" s="7">
        <v>42.1</v>
      </c>
      <c r="G22" s="7">
        <v>107.6</v>
      </c>
      <c r="H22" s="7">
        <v>97.5</v>
      </c>
      <c r="I22" s="7">
        <v>107</v>
      </c>
      <c r="J22" s="7">
        <v>66.900000000000006</v>
      </c>
      <c r="K22" s="101">
        <f t="shared" si="0"/>
        <v>1</v>
      </c>
      <c r="M22" t="s">
        <v>5</v>
      </c>
      <c r="N22">
        <v>-6.4849744378942198E-2</v>
      </c>
      <c r="O22">
        <v>0.11020861268677699</v>
      </c>
      <c r="P22">
        <v>-0.58842719092427997</v>
      </c>
      <c r="Q22">
        <v>0.55947339291887599</v>
      </c>
      <c r="R22">
        <v>-0.28742055055457599</v>
      </c>
      <c r="S22">
        <v>0.15772106179669201</v>
      </c>
      <c r="T22">
        <v>-0.28742055055457599</v>
      </c>
      <c r="U22">
        <v>0.15772106179669201</v>
      </c>
    </row>
    <row r="23" spans="1:21" x14ac:dyDescent="0.15">
      <c r="A23" s="6">
        <v>19</v>
      </c>
      <c r="B23" s="7">
        <v>16.100000000000001</v>
      </c>
      <c r="C23" s="8">
        <v>28</v>
      </c>
      <c r="D23" s="9">
        <v>183.75</v>
      </c>
      <c r="E23" s="9">
        <v>67.75</v>
      </c>
      <c r="F23" s="7">
        <v>38</v>
      </c>
      <c r="G23" s="7">
        <v>106.8</v>
      </c>
      <c r="H23" s="7">
        <v>89.6</v>
      </c>
      <c r="I23" s="7">
        <v>102.4</v>
      </c>
      <c r="J23" s="7">
        <v>64.2</v>
      </c>
      <c r="K23" s="101">
        <f t="shared" si="0"/>
        <v>0</v>
      </c>
      <c r="M23" t="s">
        <v>6</v>
      </c>
      <c r="N23">
        <v>-0.40053671608916303</v>
      </c>
      <c r="O23">
        <v>0.39373164825653101</v>
      </c>
      <c r="P23">
        <v>-1.0172835174992001</v>
      </c>
      <c r="Q23">
        <v>0.31498424973857198</v>
      </c>
      <c r="R23">
        <v>-1.1956939023825699</v>
      </c>
      <c r="S23">
        <v>0.39462047020424301</v>
      </c>
      <c r="T23">
        <v>-1.1956939023825699</v>
      </c>
      <c r="U23">
        <v>0.39462047020424301</v>
      </c>
    </row>
    <row r="24" spans="1:21" x14ac:dyDescent="0.15">
      <c r="A24" s="6">
        <v>20</v>
      </c>
      <c r="B24" s="7">
        <v>16.5</v>
      </c>
      <c r="C24" s="8">
        <v>33</v>
      </c>
      <c r="D24" s="9">
        <v>211.75</v>
      </c>
      <c r="E24" s="9">
        <v>73.5</v>
      </c>
      <c r="F24" s="7">
        <v>40</v>
      </c>
      <c r="G24" s="7">
        <v>106.2</v>
      </c>
      <c r="H24" s="7">
        <v>100.5</v>
      </c>
      <c r="I24" s="7">
        <v>109</v>
      </c>
      <c r="J24" s="7">
        <v>65.8</v>
      </c>
      <c r="K24" s="101">
        <f t="shared" si="0"/>
        <v>1</v>
      </c>
      <c r="M24" s="141" t="s">
        <v>7</v>
      </c>
      <c r="N24">
        <v>8.5522172525803505E-2</v>
      </c>
      <c r="O24">
        <v>0.178945683424477</v>
      </c>
      <c r="P24">
        <v>0.47792252313198502</v>
      </c>
      <c r="Q24" s="141">
        <v>0.63524372541659901</v>
      </c>
      <c r="R24">
        <v>-0.27586596267040597</v>
      </c>
      <c r="S24">
        <v>0.44691030772201301</v>
      </c>
      <c r="T24">
        <v>-0.27586596267040597</v>
      </c>
      <c r="U24">
        <v>0.44691030772201301</v>
      </c>
    </row>
    <row r="25" spans="1:21" x14ac:dyDescent="0.15">
      <c r="A25" s="6">
        <v>21</v>
      </c>
      <c r="B25" s="7">
        <v>19</v>
      </c>
      <c r="C25" s="8">
        <v>28</v>
      </c>
      <c r="D25" s="9">
        <v>179</v>
      </c>
      <c r="E25" s="9">
        <v>68</v>
      </c>
      <c r="F25" s="7">
        <v>39.1</v>
      </c>
      <c r="G25" s="7">
        <v>103.3</v>
      </c>
      <c r="H25" s="7">
        <v>95.9</v>
      </c>
      <c r="I25" s="7">
        <v>104.9</v>
      </c>
      <c r="J25" s="7">
        <v>63.5</v>
      </c>
      <c r="K25" s="101">
        <f t="shared" si="0"/>
        <v>0</v>
      </c>
      <c r="M25" t="s">
        <v>8</v>
      </c>
      <c r="N25">
        <v>0.85492512486341798</v>
      </c>
      <c r="O25">
        <v>0.163165625420432</v>
      </c>
      <c r="P25">
        <v>5.2396154071086496</v>
      </c>
      <c r="Q25">
        <v>5.1730281434354499E-6</v>
      </c>
      <c r="R25">
        <v>0.52540546297283197</v>
      </c>
      <c r="S25">
        <v>1.184444786754</v>
      </c>
      <c r="T25">
        <v>0.52540546297283197</v>
      </c>
      <c r="U25">
        <v>1.184444786754</v>
      </c>
    </row>
    <row r="26" spans="1:21" x14ac:dyDescent="0.15">
      <c r="A26" s="6">
        <v>22</v>
      </c>
      <c r="B26" s="7">
        <v>15.3</v>
      </c>
      <c r="C26" s="8">
        <v>28</v>
      </c>
      <c r="D26" s="9">
        <v>200.5</v>
      </c>
      <c r="E26" s="9">
        <v>69.75</v>
      </c>
      <c r="F26" s="7">
        <v>41.3</v>
      </c>
      <c r="G26" s="7">
        <v>111.4</v>
      </c>
      <c r="H26" s="7">
        <v>98.8</v>
      </c>
      <c r="I26" s="7">
        <v>104.8</v>
      </c>
      <c r="J26" s="7">
        <v>63.4</v>
      </c>
      <c r="K26" s="101">
        <f t="shared" si="0"/>
        <v>0</v>
      </c>
      <c r="M26" t="s">
        <v>9</v>
      </c>
      <c r="N26">
        <v>-0.26775727753255402</v>
      </c>
      <c r="O26">
        <v>0.27022055962417402</v>
      </c>
      <c r="P26">
        <v>-0.990884179593714</v>
      </c>
      <c r="Q26">
        <v>0.32755423519078702</v>
      </c>
      <c r="R26">
        <v>-0.81347876276453102</v>
      </c>
      <c r="S26">
        <v>0.27796420769942198</v>
      </c>
      <c r="T26">
        <v>-0.81347876276453102</v>
      </c>
      <c r="U26">
        <v>0.27796420769942198</v>
      </c>
    </row>
    <row r="27" spans="1:21" x14ac:dyDescent="0.15">
      <c r="A27" s="6">
        <v>23</v>
      </c>
      <c r="B27" s="7">
        <v>15.7</v>
      </c>
      <c r="C27" s="8">
        <v>31</v>
      </c>
      <c r="D27" s="9">
        <v>140.25</v>
      </c>
      <c r="E27" s="9">
        <v>68.25</v>
      </c>
      <c r="F27" s="7">
        <v>33.9</v>
      </c>
      <c r="G27" s="7">
        <v>86</v>
      </c>
      <c r="H27" s="7">
        <v>76.400000000000006</v>
      </c>
      <c r="I27" s="7">
        <v>94.6</v>
      </c>
      <c r="J27" s="7">
        <v>57.4</v>
      </c>
      <c r="K27" s="101">
        <f t="shared" si="0"/>
        <v>1</v>
      </c>
      <c r="M27" t="s">
        <v>10</v>
      </c>
      <c r="N27">
        <v>0.74222256819783805</v>
      </c>
      <c r="O27">
        <v>0.27312514569472901</v>
      </c>
      <c r="P27">
        <v>2.7175182508732298</v>
      </c>
      <c r="Q27">
        <v>9.5922446658618602E-3</v>
      </c>
      <c r="R27">
        <v>0.19063515245852999</v>
      </c>
      <c r="S27">
        <v>1.29380998393714</v>
      </c>
      <c r="T27">
        <v>0.19063515245852999</v>
      </c>
      <c r="U27">
        <v>1.29380998393714</v>
      </c>
    </row>
    <row r="28" spans="1:21" x14ac:dyDescent="0.15">
      <c r="A28" s="6">
        <v>24</v>
      </c>
      <c r="B28" s="7">
        <v>17.600000000000001</v>
      </c>
      <c r="C28" s="8">
        <v>32</v>
      </c>
      <c r="D28" s="9">
        <v>148.75</v>
      </c>
      <c r="E28" s="9">
        <v>70</v>
      </c>
      <c r="F28" s="7">
        <v>35.5</v>
      </c>
      <c r="G28" s="7">
        <v>86.7</v>
      </c>
      <c r="H28" s="7">
        <v>80</v>
      </c>
      <c r="I28" s="7">
        <v>93.4</v>
      </c>
      <c r="J28" s="7">
        <v>54.9</v>
      </c>
      <c r="K28" s="101">
        <f t="shared" si="0"/>
        <v>1</v>
      </c>
      <c r="M28" s="118" t="s">
        <v>3</v>
      </c>
      <c r="N28" s="118">
        <v>2.2457674944282502</v>
      </c>
      <c r="O28" s="118">
        <v>1.2899987520546099</v>
      </c>
      <c r="P28" s="118">
        <v>1.74090671859283</v>
      </c>
      <c r="Q28" s="118">
        <v>8.9200488487836294E-2</v>
      </c>
      <c r="R28" s="118">
        <v>-0.35943780859437302</v>
      </c>
      <c r="S28" s="118">
        <v>4.8509727974508703</v>
      </c>
      <c r="T28" s="118">
        <v>-0.35943780859437302</v>
      </c>
      <c r="U28" s="118">
        <v>4.8509727974508703</v>
      </c>
    </row>
    <row r="29" spans="1:21" x14ac:dyDescent="0.15">
      <c r="A29" s="6">
        <v>25</v>
      </c>
      <c r="B29" s="7">
        <v>14.2</v>
      </c>
      <c r="C29" s="8">
        <v>28</v>
      </c>
      <c r="D29" s="9">
        <v>151.25</v>
      </c>
      <c r="E29" s="9">
        <v>67.75</v>
      </c>
      <c r="F29" s="7">
        <v>34.5</v>
      </c>
      <c r="G29" s="7">
        <v>90.2</v>
      </c>
      <c r="H29" s="7">
        <v>76.3</v>
      </c>
      <c r="I29" s="7">
        <v>95.8</v>
      </c>
      <c r="J29" s="7">
        <v>58.4</v>
      </c>
      <c r="K29" s="101">
        <f t="shared" si="0"/>
        <v>0</v>
      </c>
    </row>
    <row r="30" spans="1:21" x14ac:dyDescent="0.15">
      <c r="A30" s="6">
        <v>26</v>
      </c>
      <c r="B30" s="7">
        <v>4.5999999999999996</v>
      </c>
      <c r="C30" s="8">
        <v>27</v>
      </c>
      <c r="D30" s="9">
        <v>159.25</v>
      </c>
      <c r="E30" s="9">
        <v>71.5</v>
      </c>
      <c r="F30" s="7">
        <v>35.700000000000003</v>
      </c>
      <c r="G30" s="7">
        <v>89.6</v>
      </c>
      <c r="H30" s="7">
        <v>79.7</v>
      </c>
      <c r="I30" s="7">
        <v>96.5</v>
      </c>
      <c r="J30" s="7">
        <v>55</v>
      </c>
      <c r="K30" s="101">
        <f t="shared" si="0"/>
        <v>0</v>
      </c>
      <c r="M30" s="145" t="s">
        <v>60</v>
      </c>
    </row>
    <row r="31" spans="1:21" x14ac:dyDescent="0.15">
      <c r="A31" s="6">
        <v>27</v>
      </c>
      <c r="B31" s="7">
        <v>8.5</v>
      </c>
      <c r="C31" s="8">
        <v>34</v>
      </c>
      <c r="D31" s="9">
        <v>131.5</v>
      </c>
      <c r="E31" s="9">
        <v>67.5</v>
      </c>
      <c r="F31" s="7">
        <v>36.200000000000003</v>
      </c>
      <c r="G31" s="7">
        <v>88.6</v>
      </c>
      <c r="H31" s="7">
        <v>74.599999999999994</v>
      </c>
      <c r="I31" s="7">
        <v>85.3</v>
      </c>
      <c r="J31" s="7">
        <v>51.7</v>
      </c>
      <c r="K31" s="101">
        <f t="shared" si="0"/>
        <v>1</v>
      </c>
    </row>
    <row r="32" spans="1:21" x14ac:dyDescent="0.15">
      <c r="A32" s="6">
        <v>28</v>
      </c>
      <c r="B32" s="7">
        <v>22.4</v>
      </c>
      <c r="C32" s="8">
        <v>31</v>
      </c>
      <c r="D32" s="9">
        <v>148</v>
      </c>
      <c r="E32" s="9">
        <v>67.5</v>
      </c>
      <c r="F32" s="7">
        <v>38.799999999999997</v>
      </c>
      <c r="G32" s="7">
        <v>97.4</v>
      </c>
      <c r="H32" s="7">
        <v>88.7</v>
      </c>
      <c r="I32" s="7">
        <v>94.7</v>
      </c>
      <c r="J32" s="7">
        <v>57.5</v>
      </c>
      <c r="K32" s="101">
        <f t="shared" si="0"/>
        <v>1</v>
      </c>
    </row>
    <row r="33" spans="1:11" x14ac:dyDescent="0.15">
      <c r="A33" s="6">
        <v>29</v>
      </c>
      <c r="B33" s="7">
        <v>4.7</v>
      </c>
      <c r="C33" s="8">
        <v>27</v>
      </c>
      <c r="D33" s="9">
        <v>133.25</v>
      </c>
      <c r="E33" s="9">
        <v>64.75</v>
      </c>
      <c r="F33" s="7">
        <v>36.4</v>
      </c>
      <c r="G33" s="7">
        <v>93.5</v>
      </c>
      <c r="H33" s="7">
        <v>73.900000000000006</v>
      </c>
      <c r="I33" s="7">
        <v>88.5</v>
      </c>
      <c r="J33" s="7">
        <v>50.1</v>
      </c>
      <c r="K33" s="101">
        <f t="shared" si="0"/>
        <v>0</v>
      </c>
    </row>
    <row r="34" spans="1:11" x14ac:dyDescent="0.15">
      <c r="A34" s="6">
        <v>30</v>
      </c>
      <c r="B34" s="7">
        <v>9.4</v>
      </c>
      <c r="C34" s="8">
        <v>29</v>
      </c>
      <c r="D34" s="9">
        <v>160.75</v>
      </c>
      <c r="E34" s="9">
        <v>69</v>
      </c>
      <c r="F34" s="7">
        <v>36.700000000000003</v>
      </c>
      <c r="G34" s="7">
        <v>97.4</v>
      </c>
      <c r="H34" s="7">
        <v>83.5</v>
      </c>
      <c r="I34" s="7">
        <v>98.7</v>
      </c>
      <c r="J34" s="7">
        <v>58.9</v>
      </c>
      <c r="K34" s="101">
        <f t="shared" si="0"/>
        <v>0</v>
      </c>
    </row>
    <row r="35" spans="1:11" x14ac:dyDescent="0.15">
      <c r="A35" s="6">
        <v>31</v>
      </c>
      <c r="B35" s="7">
        <v>12.3</v>
      </c>
      <c r="C35" s="8">
        <v>32</v>
      </c>
      <c r="D35" s="9">
        <v>182</v>
      </c>
      <c r="E35" s="9">
        <v>73.75</v>
      </c>
      <c r="F35" s="7">
        <v>38.700000000000003</v>
      </c>
      <c r="G35" s="7">
        <v>100.5</v>
      </c>
      <c r="H35" s="7">
        <v>88.7</v>
      </c>
      <c r="I35" s="7">
        <v>99.8</v>
      </c>
      <c r="J35" s="7">
        <v>57.5</v>
      </c>
      <c r="K35" s="101">
        <f t="shared" si="0"/>
        <v>1</v>
      </c>
    </row>
    <row r="36" spans="1:11" x14ac:dyDescent="0.15">
      <c r="A36" s="6">
        <v>32</v>
      </c>
      <c r="B36" s="7">
        <v>6.5</v>
      </c>
      <c r="C36" s="8">
        <v>29</v>
      </c>
      <c r="D36" s="9">
        <v>160.25</v>
      </c>
      <c r="E36" s="9">
        <v>71.25</v>
      </c>
      <c r="F36" s="7">
        <v>37.299999999999997</v>
      </c>
      <c r="G36" s="7">
        <v>93.5</v>
      </c>
      <c r="H36" s="7">
        <v>84.5</v>
      </c>
      <c r="I36" s="7">
        <v>100.6</v>
      </c>
      <c r="J36" s="7">
        <v>58.5</v>
      </c>
      <c r="K36" s="101">
        <f t="shared" si="0"/>
        <v>0</v>
      </c>
    </row>
    <row r="37" spans="1:11" x14ac:dyDescent="0.15">
      <c r="A37" s="6">
        <v>33</v>
      </c>
      <c r="B37" s="7">
        <v>13.4</v>
      </c>
      <c r="C37" s="8">
        <v>27</v>
      </c>
      <c r="D37" s="9">
        <v>168</v>
      </c>
      <c r="E37" s="9">
        <v>71.25</v>
      </c>
      <c r="F37" s="7">
        <v>38.1</v>
      </c>
      <c r="G37" s="7">
        <v>93</v>
      </c>
      <c r="H37" s="7">
        <v>79.099999999999994</v>
      </c>
      <c r="I37" s="7">
        <v>94.5</v>
      </c>
      <c r="J37" s="7">
        <v>57.3</v>
      </c>
      <c r="K37" s="101">
        <f t="shared" si="0"/>
        <v>0</v>
      </c>
    </row>
    <row r="38" spans="1:11" x14ac:dyDescent="0.15">
      <c r="A38" s="6">
        <v>34</v>
      </c>
      <c r="B38" s="7">
        <v>20.9</v>
      </c>
      <c r="C38" s="8">
        <v>41</v>
      </c>
      <c r="D38" s="9">
        <v>218.5</v>
      </c>
      <c r="E38" s="9">
        <v>71</v>
      </c>
      <c r="F38" s="7">
        <v>39.799999999999997</v>
      </c>
      <c r="G38" s="7">
        <v>111.7</v>
      </c>
      <c r="H38" s="7">
        <v>100.5</v>
      </c>
      <c r="I38" s="7">
        <v>108.3</v>
      </c>
      <c r="J38" s="7">
        <v>67.099999999999994</v>
      </c>
      <c r="K38" s="101">
        <f t="shared" si="0"/>
        <v>1</v>
      </c>
    </row>
    <row r="39" spans="1:11" x14ac:dyDescent="0.15">
      <c r="A39" s="6">
        <v>35</v>
      </c>
      <c r="B39" s="7">
        <v>31.1</v>
      </c>
      <c r="C39" s="8">
        <v>41</v>
      </c>
      <c r="D39" s="9">
        <v>247.25</v>
      </c>
      <c r="E39" s="9">
        <v>73.5</v>
      </c>
      <c r="F39" s="7">
        <v>42.1</v>
      </c>
      <c r="G39" s="7">
        <v>117</v>
      </c>
      <c r="H39" s="7">
        <v>115.6</v>
      </c>
      <c r="I39" s="7">
        <v>116.1</v>
      </c>
      <c r="J39" s="7">
        <v>71.2</v>
      </c>
      <c r="K39" s="101">
        <f t="shared" si="0"/>
        <v>1</v>
      </c>
    </row>
    <row r="40" spans="1:11" x14ac:dyDescent="0.15">
      <c r="A40" s="6">
        <v>36</v>
      </c>
      <c r="B40" s="7">
        <v>38.200000000000003</v>
      </c>
      <c r="C40" s="8">
        <v>49</v>
      </c>
      <c r="D40" s="9">
        <v>191.75</v>
      </c>
      <c r="E40" s="9">
        <v>65</v>
      </c>
      <c r="F40" s="7">
        <v>38.4</v>
      </c>
      <c r="G40" s="7">
        <v>118.5</v>
      </c>
      <c r="H40" s="7">
        <v>113.1</v>
      </c>
      <c r="I40" s="7">
        <v>113.8</v>
      </c>
      <c r="J40" s="7">
        <v>61.9</v>
      </c>
      <c r="K40" s="101">
        <f t="shared" si="0"/>
        <v>1</v>
      </c>
    </row>
    <row r="41" spans="1:11" x14ac:dyDescent="0.15">
      <c r="A41" s="6">
        <v>37</v>
      </c>
      <c r="B41" s="7">
        <v>23.6</v>
      </c>
      <c r="C41" s="8">
        <v>40</v>
      </c>
      <c r="D41" s="9">
        <v>202.25</v>
      </c>
      <c r="E41" s="9">
        <v>70</v>
      </c>
      <c r="F41" s="7">
        <v>38.5</v>
      </c>
      <c r="G41" s="7">
        <v>106.5</v>
      </c>
      <c r="H41" s="7">
        <v>100.9</v>
      </c>
      <c r="I41" s="7">
        <v>106.2</v>
      </c>
      <c r="J41" s="7">
        <v>63.5</v>
      </c>
      <c r="K41" s="101">
        <f t="shared" si="0"/>
        <v>1</v>
      </c>
    </row>
    <row r="42" spans="1:11" x14ac:dyDescent="0.15">
      <c r="A42" s="6">
        <v>38</v>
      </c>
      <c r="B42" s="7">
        <v>27.5</v>
      </c>
      <c r="C42" s="8">
        <v>50</v>
      </c>
      <c r="D42" s="9">
        <v>196.75</v>
      </c>
      <c r="E42" s="9">
        <v>68.25</v>
      </c>
      <c r="F42" s="7">
        <v>42.1</v>
      </c>
      <c r="G42" s="7">
        <v>105.6</v>
      </c>
      <c r="H42" s="7">
        <v>98.8</v>
      </c>
      <c r="I42" s="7">
        <v>104.8</v>
      </c>
      <c r="J42" s="7">
        <v>66</v>
      </c>
      <c r="K42" s="101">
        <f t="shared" si="0"/>
        <v>1</v>
      </c>
    </row>
    <row r="43" spans="1:11" x14ac:dyDescent="0.15">
      <c r="A43" s="6">
        <v>39</v>
      </c>
      <c r="B43" s="7">
        <v>33.799999999999997</v>
      </c>
      <c r="C43" s="8">
        <v>46</v>
      </c>
      <c r="D43" s="9">
        <v>363.15</v>
      </c>
      <c r="E43" s="9">
        <v>72.25</v>
      </c>
      <c r="F43" s="7">
        <v>51.2</v>
      </c>
      <c r="G43" s="7">
        <v>136.19999999999999</v>
      </c>
      <c r="H43" s="7">
        <v>148.1</v>
      </c>
      <c r="I43" s="7">
        <v>147.69999999999999</v>
      </c>
      <c r="J43" s="7">
        <v>87.3</v>
      </c>
      <c r="K43" s="101">
        <f t="shared" si="0"/>
        <v>1</v>
      </c>
    </row>
    <row r="44" spans="1:11" x14ac:dyDescent="0.15">
      <c r="A44" s="6">
        <v>40</v>
      </c>
      <c r="B44" s="7">
        <v>31.3</v>
      </c>
      <c r="C44" s="8">
        <v>50</v>
      </c>
      <c r="D44" s="9">
        <v>203</v>
      </c>
      <c r="E44" s="9">
        <v>67</v>
      </c>
      <c r="F44" s="7">
        <v>40.200000000000003</v>
      </c>
      <c r="G44" s="7">
        <v>114.8</v>
      </c>
      <c r="H44" s="7">
        <v>108.1</v>
      </c>
      <c r="I44" s="7">
        <v>102.5</v>
      </c>
      <c r="J44" s="7">
        <v>61.3</v>
      </c>
      <c r="K44" s="101">
        <f t="shared" si="0"/>
        <v>1</v>
      </c>
    </row>
    <row r="45" spans="1:11" x14ac:dyDescent="0.15">
      <c r="A45" s="6">
        <v>41</v>
      </c>
      <c r="B45" s="7">
        <v>33.1</v>
      </c>
      <c r="C45" s="8">
        <v>45</v>
      </c>
      <c r="D45" s="9">
        <v>262.75</v>
      </c>
      <c r="E45" s="9">
        <v>68.75</v>
      </c>
      <c r="F45" s="7">
        <v>43.2</v>
      </c>
      <c r="G45" s="7">
        <v>128.30000000000001</v>
      </c>
      <c r="H45" s="7">
        <v>126.2</v>
      </c>
      <c r="I45" s="7">
        <v>125.6</v>
      </c>
      <c r="J45" s="7">
        <v>72.5</v>
      </c>
      <c r="K45" s="101">
        <f t="shared" si="0"/>
        <v>1</v>
      </c>
    </row>
    <row r="46" spans="1:11" x14ac:dyDescent="0.15">
      <c r="A46" s="6">
        <v>42</v>
      </c>
      <c r="B46" s="7">
        <v>31.7</v>
      </c>
      <c r="C46" s="8">
        <v>44</v>
      </c>
      <c r="D46" s="9">
        <v>205</v>
      </c>
      <c r="E46" s="9">
        <v>29.5</v>
      </c>
      <c r="F46" s="7">
        <v>36.6</v>
      </c>
      <c r="G46" s="7">
        <v>106</v>
      </c>
      <c r="H46" s="7">
        <v>104.3</v>
      </c>
      <c r="I46" s="7">
        <v>115.5</v>
      </c>
      <c r="J46" s="7">
        <v>70.599999999999994</v>
      </c>
      <c r="K46" s="101">
        <f t="shared" si="0"/>
        <v>1</v>
      </c>
    </row>
    <row r="47" spans="1:11" x14ac:dyDescent="0.15">
      <c r="A47" s="6">
        <v>43</v>
      </c>
      <c r="B47" s="7">
        <v>30.4</v>
      </c>
      <c r="C47" s="8">
        <v>48</v>
      </c>
      <c r="D47" s="9">
        <v>217</v>
      </c>
      <c r="E47" s="9">
        <v>70</v>
      </c>
      <c r="F47" s="7">
        <v>37.299999999999997</v>
      </c>
      <c r="G47" s="7">
        <v>113.3</v>
      </c>
      <c r="H47" s="7">
        <v>111.2</v>
      </c>
      <c r="I47" s="7">
        <v>114.1</v>
      </c>
      <c r="J47" s="7">
        <v>67.7</v>
      </c>
      <c r="K47" s="101">
        <f t="shared" si="0"/>
        <v>1</v>
      </c>
    </row>
    <row r="48" spans="1:11" x14ac:dyDescent="0.15">
      <c r="A48" s="6">
        <v>44</v>
      </c>
      <c r="B48" s="7">
        <v>30.8</v>
      </c>
      <c r="C48" s="8">
        <v>41</v>
      </c>
      <c r="D48" s="9">
        <v>212</v>
      </c>
      <c r="E48" s="9">
        <v>71.5</v>
      </c>
      <c r="F48" s="7">
        <v>41.5</v>
      </c>
      <c r="G48" s="7">
        <v>106.6</v>
      </c>
      <c r="H48" s="7">
        <v>104.3</v>
      </c>
      <c r="I48" s="7">
        <v>106</v>
      </c>
      <c r="J48" s="7">
        <v>65</v>
      </c>
      <c r="K48" s="101">
        <f t="shared" si="0"/>
        <v>1</v>
      </c>
    </row>
    <row r="49" spans="1:11" x14ac:dyDescent="0.15">
      <c r="A49" s="6">
        <v>45</v>
      </c>
      <c r="B49" s="7">
        <v>8.4</v>
      </c>
      <c r="C49" s="8">
        <v>39</v>
      </c>
      <c r="D49" s="9">
        <v>125.25</v>
      </c>
      <c r="E49" s="9">
        <v>68</v>
      </c>
      <c r="F49" s="7">
        <v>31.5</v>
      </c>
      <c r="G49" s="7">
        <v>85.1</v>
      </c>
      <c r="H49" s="7">
        <v>76</v>
      </c>
      <c r="I49" s="7">
        <v>88.2</v>
      </c>
      <c r="J49" s="7">
        <v>50</v>
      </c>
      <c r="K49" s="101">
        <f t="shared" si="0"/>
        <v>1</v>
      </c>
    </row>
    <row r="50" spans="1:11" x14ac:dyDescent="0.15">
      <c r="A50" s="6">
        <v>46</v>
      </c>
      <c r="B50" s="7">
        <v>14.1</v>
      </c>
      <c r="C50" s="8">
        <v>43</v>
      </c>
      <c r="D50" s="9">
        <v>164.25</v>
      </c>
      <c r="E50" s="9">
        <v>73.25</v>
      </c>
      <c r="F50" s="7">
        <v>35.700000000000003</v>
      </c>
      <c r="G50" s="7">
        <v>96.6</v>
      </c>
      <c r="H50" s="7">
        <v>81.5</v>
      </c>
      <c r="I50" s="7">
        <v>97.2</v>
      </c>
      <c r="J50" s="7">
        <v>58.4</v>
      </c>
      <c r="K50" s="101">
        <f t="shared" si="0"/>
        <v>1</v>
      </c>
    </row>
    <row r="51" spans="1:11" x14ac:dyDescent="0.15">
      <c r="A51" s="6">
        <v>47</v>
      </c>
      <c r="B51" s="7">
        <v>11.2</v>
      </c>
      <c r="C51" s="8">
        <v>40</v>
      </c>
      <c r="D51" s="9">
        <v>133.5</v>
      </c>
      <c r="E51" s="9">
        <v>67.5</v>
      </c>
      <c r="F51" s="7">
        <v>33.6</v>
      </c>
      <c r="G51" s="7">
        <v>88.2</v>
      </c>
      <c r="H51" s="7">
        <v>73.7</v>
      </c>
      <c r="I51" s="7">
        <v>88.5</v>
      </c>
      <c r="J51" s="7">
        <v>53.3</v>
      </c>
      <c r="K51" s="101">
        <f t="shared" si="0"/>
        <v>1</v>
      </c>
    </row>
    <row r="52" spans="1:11" x14ac:dyDescent="0.15">
      <c r="A52" s="6">
        <v>48</v>
      </c>
      <c r="B52" s="7">
        <v>6.4</v>
      </c>
      <c r="C52" s="8">
        <v>39</v>
      </c>
      <c r="D52" s="9">
        <v>148.5</v>
      </c>
      <c r="E52" s="9">
        <v>71.25</v>
      </c>
      <c r="F52" s="7">
        <v>34.6</v>
      </c>
      <c r="G52" s="7">
        <v>89.8</v>
      </c>
      <c r="H52" s="7">
        <v>79.5</v>
      </c>
      <c r="I52" s="7">
        <v>92.7</v>
      </c>
      <c r="J52" s="7">
        <v>52.7</v>
      </c>
      <c r="K52" s="101">
        <f t="shared" si="0"/>
        <v>1</v>
      </c>
    </row>
    <row r="53" spans="1:11" x14ac:dyDescent="0.15">
      <c r="A53" s="6">
        <v>49</v>
      </c>
      <c r="B53" s="7">
        <v>13.4</v>
      </c>
      <c r="C53" s="8">
        <v>45</v>
      </c>
      <c r="D53" s="9">
        <v>135.75</v>
      </c>
      <c r="E53" s="9">
        <v>68.5</v>
      </c>
      <c r="F53" s="7">
        <v>32.799999999999997</v>
      </c>
      <c r="G53" s="7">
        <v>92.3</v>
      </c>
      <c r="H53" s="7">
        <v>83.4</v>
      </c>
      <c r="I53" s="7">
        <v>90.4</v>
      </c>
      <c r="J53" s="7">
        <v>52</v>
      </c>
      <c r="K53" s="101">
        <f t="shared" si="0"/>
        <v>1</v>
      </c>
    </row>
    <row r="54" spans="1:11" x14ac:dyDescent="0.15">
      <c r="A54" s="11">
        <v>50</v>
      </c>
      <c r="B54" s="12">
        <v>5</v>
      </c>
      <c r="C54" s="134">
        <v>47</v>
      </c>
      <c r="D54" s="133">
        <v>127.5</v>
      </c>
      <c r="E54" s="133">
        <v>66.75</v>
      </c>
      <c r="F54" s="12">
        <v>34</v>
      </c>
      <c r="G54" s="12">
        <v>83.4</v>
      </c>
      <c r="H54" s="12">
        <v>70.400000000000006</v>
      </c>
      <c r="I54" s="12">
        <v>87.2</v>
      </c>
      <c r="J54" s="12">
        <v>50.6</v>
      </c>
      <c r="K54" s="101">
        <f t="shared" si="0"/>
        <v>1</v>
      </c>
    </row>
  </sheetData>
  <mergeCells count="1">
    <mergeCell ref="M6:N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29B0-DA5F-4176-8257-26C24FDE3DE1}">
  <dimension ref="A2:T54"/>
  <sheetViews>
    <sheetView workbookViewId="0">
      <selection activeCell="R9" sqref="R9"/>
    </sheetView>
  </sheetViews>
  <sheetFormatPr baseColWidth="10" defaultColWidth="8.83203125" defaultRowHeight="13" x14ac:dyDescent="0.15"/>
  <cols>
    <col min="12" max="12" width="19.1640625" bestFit="1" customWidth="1"/>
    <col min="13" max="13" width="15.5" customWidth="1"/>
    <col min="14" max="14" width="18" customWidth="1"/>
    <col min="15" max="15" width="14.5" customWidth="1"/>
    <col min="16" max="16" width="15" customWidth="1"/>
    <col min="17" max="17" width="16.33203125" customWidth="1"/>
    <col min="18" max="18" width="15.83203125" customWidth="1"/>
    <col min="19" max="19" width="17.83203125" customWidth="1"/>
    <col min="20" max="20" width="18.5" customWidth="1"/>
  </cols>
  <sheetData>
    <row r="2" spans="1:17" ht="16" x14ac:dyDescent="0.2">
      <c r="A2" s="16" t="s">
        <v>0</v>
      </c>
    </row>
    <row r="4" spans="1:17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8</v>
      </c>
      <c r="H4" s="18" t="s">
        <v>9</v>
      </c>
      <c r="I4" s="18" t="s">
        <v>10</v>
      </c>
      <c r="J4" s="18" t="s">
        <v>3</v>
      </c>
      <c r="L4" t="s">
        <v>12</v>
      </c>
    </row>
    <row r="5" spans="1:17" x14ac:dyDescent="0.15">
      <c r="A5" s="1">
        <v>1</v>
      </c>
      <c r="B5" s="2">
        <v>12.6</v>
      </c>
      <c r="C5" s="3">
        <v>23</v>
      </c>
      <c r="D5" s="4">
        <v>154.25</v>
      </c>
      <c r="E5" s="4">
        <v>67.75</v>
      </c>
      <c r="F5" s="2">
        <v>36.200000000000003</v>
      </c>
      <c r="G5" s="2">
        <v>85.2</v>
      </c>
      <c r="H5" s="2">
        <v>94.5</v>
      </c>
      <c r="I5" s="2">
        <v>59</v>
      </c>
      <c r="J5" s="101">
        <f>IF(C5&gt;30,1,0)</f>
        <v>0</v>
      </c>
    </row>
    <row r="6" spans="1:17" x14ac:dyDescent="0.15">
      <c r="A6" s="6">
        <v>2</v>
      </c>
      <c r="B6" s="7">
        <v>6.9</v>
      </c>
      <c r="C6" s="8">
        <v>22</v>
      </c>
      <c r="D6" s="9">
        <v>173.25</v>
      </c>
      <c r="E6" s="9">
        <v>72.25</v>
      </c>
      <c r="F6" s="7">
        <v>38.5</v>
      </c>
      <c r="G6" s="7">
        <v>83</v>
      </c>
      <c r="H6" s="7">
        <v>98.7</v>
      </c>
      <c r="I6" s="7">
        <v>58.7</v>
      </c>
      <c r="J6" s="101">
        <f t="shared" ref="J6:J54" si="0">IF(C6&gt;30,1,0)</f>
        <v>0</v>
      </c>
      <c r="L6" s="249" t="s">
        <v>14</v>
      </c>
      <c r="M6" s="249"/>
    </row>
    <row r="7" spans="1:17" x14ac:dyDescent="0.15">
      <c r="A7" s="6">
        <v>3</v>
      </c>
      <c r="B7" s="7">
        <v>24.6</v>
      </c>
      <c r="C7" s="8">
        <v>22</v>
      </c>
      <c r="D7" s="9">
        <v>154</v>
      </c>
      <c r="E7" s="9">
        <v>66.25</v>
      </c>
      <c r="F7" s="7">
        <v>34</v>
      </c>
      <c r="G7" s="7">
        <v>87.9</v>
      </c>
      <c r="H7" s="7">
        <v>99.2</v>
      </c>
      <c r="I7" s="7">
        <v>59.6</v>
      </c>
      <c r="J7" s="101">
        <f t="shared" si="0"/>
        <v>0</v>
      </c>
      <c r="L7" t="s">
        <v>15</v>
      </c>
      <c r="M7">
        <v>0.920560430260147</v>
      </c>
    </row>
    <row r="8" spans="1:17" x14ac:dyDescent="0.15">
      <c r="A8" s="6">
        <v>4</v>
      </c>
      <c r="B8" s="7">
        <v>10.9</v>
      </c>
      <c r="C8" s="8">
        <v>26</v>
      </c>
      <c r="D8" s="9">
        <v>184.75</v>
      </c>
      <c r="E8" s="9">
        <v>72.25</v>
      </c>
      <c r="F8" s="7">
        <v>37.4</v>
      </c>
      <c r="G8" s="7">
        <v>86.4</v>
      </c>
      <c r="H8" s="7">
        <v>101.2</v>
      </c>
      <c r="I8" s="7">
        <v>60.1</v>
      </c>
      <c r="J8" s="101">
        <f t="shared" si="0"/>
        <v>0</v>
      </c>
      <c r="L8" t="s">
        <v>16</v>
      </c>
      <c r="M8">
        <v>0.84743150576074799</v>
      </c>
    </row>
    <row r="9" spans="1:17" x14ac:dyDescent="0.15">
      <c r="A9" s="6">
        <v>5</v>
      </c>
      <c r="B9" s="7">
        <v>27.8</v>
      </c>
      <c r="C9" s="8">
        <v>24</v>
      </c>
      <c r="D9" s="9">
        <v>184.25</v>
      </c>
      <c r="E9" s="9">
        <v>71.25</v>
      </c>
      <c r="F9" s="7">
        <v>34.4</v>
      </c>
      <c r="G9" s="7">
        <v>100</v>
      </c>
      <c r="H9" s="7">
        <v>101.9</v>
      </c>
      <c r="I9" s="7">
        <v>63.2</v>
      </c>
      <c r="J9" s="101">
        <f t="shared" si="0"/>
        <v>0</v>
      </c>
      <c r="L9" t="s">
        <v>17</v>
      </c>
      <c r="M9" s="116">
        <v>0.82200342338753996</v>
      </c>
    </row>
    <row r="10" spans="1:17" x14ac:dyDescent="0.15">
      <c r="A10" s="6">
        <v>6</v>
      </c>
      <c r="B10" s="7">
        <v>20.6</v>
      </c>
      <c r="C10" s="8">
        <v>24</v>
      </c>
      <c r="D10" s="9">
        <v>210.25</v>
      </c>
      <c r="E10" s="9">
        <v>74.75</v>
      </c>
      <c r="F10" s="7">
        <v>39</v>
      </c>
      <c r="G10" s="7">
        <v>94.4</v>
      </c>
      <c r="H10" s="7">
        <v>107.8</v>
      </c>
      <c r="I10" s="7">
        <v>66</v>
      </c>
      <c r="J10" s="101">
        <f t="shared" si="0"/>
        <v>0</v>
      </c>
      <c r="L10" t="s">
        <v>18</v>
      </c>
      <c r="M10">
        <v>3.8313689256534</v>
      </c>
    </row>
    <row r="11" spans="1:17" x14ac:dyDescent="0.15">
      <c r="A11" s="6">
        <v>7</v>
      </c>
      <c r="B11" s="7">
        <v>19</v>
      </c>
      <c r="C11" s="8">
        <v>26</v>
      </c>
      <c r="D11" s="9">
        <v>181</v>
      </c>
      <c r="E11" s="9">
        <v>69.75</v>
      </c>
      <c r="F11" s="7">
        <v>36.4</v>
      </c>
      <c r="G11" s="7">
        <v>90.7</v>
      </c>
      <c r="H11" s="7">
        <v>100.3</v>
      </c>
      <c r="I11" s="7">
        <v>58.4</v>
      </c>
      <c r="J11" s="101">
        <f t="shared" si="0"/>
        <v>0</v>
      </c>
      <c r="L11" s="118" t="s">
        <v>19</v>
      </c>
      <c r="M11" s="118">
        <v>50</v>
      </c>
    </row>
    <row r="12" spans="1:17" x14ac:dyDescent="0.15">
      <c r="A12" s="6">
        <v>8</v>
      </c>
      <c r="B12" s="7">
        <v>12.8</v>
      </c>
      <c r="C12" s="8">
        <v>25</v>
      </c>
      <c r="D12" s="9">
        <v>176</v>
      </c>
      <c r="E12" s="9">
        <v>72.5</v>
      </c>
      <c r="F12" s="7">
        <v>37.799999999999997</v>
      </c>
      <c r="G12" s="7">
        <v>88.5</v>
      </c>
      <c r="H12" s="7">
        <v>97.1</v>
      </c>
      <c r="I12" s="7">
        <v>60</v>
      </c>
      <c r="J12" s="101">
        <f t="shared" si="0"/>
        <v>0</v>
      </c>
    </row>
    <row r="13" spans="1:17" x14ac:dyDescent="0.15">
      <c r="A13" s="6">
        <v>9</v>
      </c>
      <c r="B13" s="7">
        <v>5.0999999999999996</v>
      </c>
      <c r="C13" s="8">
        <v>25</v>
      </c>
      <c r="D13" s="9">
        <v>191</v>
      </c>
      <c r="E13" s="9">
        <v>74</v>
      </c>
      <c r="F13" s="7">
        <v>38.1</v>
      </c>
      <c r="G13" s="7">
        <v>82.5</v>
      </c>
      <c r="H13" s="7">
        <v>99.9</v>
      </c>
      <c r="I13" s="7">
        <v>62.9</v>
      </c>
      <c r="J13" s="101">
        <f t="shared" si="0"/>
        <v>0</v>
      </c>
      <c r="L13" t="s">
        <v>20</v>
      </c>
    </row>
    <row r="14" spans="1:17" x14ac:dyDescent="0.15">
      <c r="A14" s="6">
        <v>10</v>
      </c>
      <c r="B14" s="7">
        <v>12</v>
      </c>
      <c r="C14" s="8">
        <v>23</v>
      </c>
      <c r="D14" s="9">
        <v>198.25</v>
      </c>
      <c r="E14" s="9">
        <v>73.5</v>
      </c>
      <c r="F14" s="7">
        <v>42.1</v>
      </c>
      <c r="G14" s="7">
        <v>88.6</v>
      </c>
      <c r="H14" s="7">
        <v>104.1</v>
      </c>
      <c r="I14" s="7">
        <v>63.1</v>
      </c>
      <c r="J14" s="101">
        <f t="shared" si="0"/>
        <v>0</v>
      </c>
      <c r="L14" s="117"/>
      <c r="M14" s="178" t="s">
        <v>21</v>
      </c>
      <c r="N14" s="178" t="s">
        <v>22</v>
      </c>
      <c r="O14" s="178" t="s">
        <v>23</v>
      </c>
      <c r="P14" s="178" t="s">
        <v>24</v>
      </c>
      <c r="Q14" s="178" t="s">
        <v>25</v>
      </c>
    </row>
    <row r="15" spans="1:17" x14ac:dyDescent="0.15">
      <c r="A15" s="6">
        <v>11</v>
      </c>
      <c r="B15" s="7">
        <v>7.5</v>
      </c>
      <c r="C15" s="8">
        <v>26</v>
      </c>
      <c r="D15" s="9">
        <v>186.25</v>
      </c>
      <c r="E15" s="9">
        <v>74.5</v>
      </c>
      <c r="F15" s="7">
        <v>38.5</v>
      </c>
      <c r="G15" s="7">
        <v>83.6</v>
      </c>
      <c r="H15" s="7">
        <v>98.2</v>
      </c>
      <c r="I15" s="7">
        <v>59.7</v>
      </c>
      <c r="J15" s="101">
        <f t="shared" si="0"/>
        <v>0</v>
      </c>
      <c r="L15" t="s">
        <v>26</v>
      </c>
      <c r="M15">
        <v>7</v>
      </c>
      <c r="N15">
        <v>3424.49851053257</v>
      </c>
      <c r="O15">
        <v>489.21407293322397</v>
      </c>
      <c r="P15">
        <v>33.3265990460065</v>
      </c>
      <c r="Q15" s="91">
        <v>3.5527136788005001E-15</v>
      </c>
    </row>
    <row r="16" spans="1:17" x14ac:dyDescent="0.15">
      <c r="A16" s="6">
        <v>12</v>
      </c>
      <c r="B16" s="7">
        <v>8.5</v>
      </c>
      <c r="C16" s="8">
        <v>27</v>
      </c>
      <c r="D16" s="9">
        <v>216</v>
      </c>
      <c r="E16" s="9">
        <v>76</v>
      </c>
      <c r="F16" s="7">
        <v>39.4</v>
      </c>
      <c r="G16" s="7">
        <v>90.9</v>
      </c>
      <c r="H16" s="7">
        <v>107.7</v>
      </c>
      <c r="I16" s="7">
        <v>66.2</v>
      </c>
      <c r="J16" s="101">
        <f>IF(C16&gt;30,1,0)</f>
        <v>0</v>
      </c>
      <c r="L16" t="s">
        <v>27</v>
      </c>
      <c r="M16">
        <v>42</v>
      </c>
      <c r="N16">
        <v>616.53428946742497</v>
      </c>
      <c r="O16">
        <v>14.6793878444625</v>
      </c>
    </row>
    <row r="17" spans="1:20" x14ac:dyDescent="0.15">
      <c r="A17" s="6">
        <v>13</v>
      </c>
      <c r="B17" s="7">
        <v>20.5</v>
      </c>
      <c r="C17" s="8">
        <v>32</v>
      </c>
      <c r="D17" s="9">
        <v>180.5</v>
      </c>
      <c r="E17" s="9">
        <v>69.5</v>
      </c>
      <c r="F17" s="7">
        <v>38.4</v>
      </c>
      <c r="G17" s="7">
        <v>91.6</v>
      </c>
      <c r="H17" s="7">
        <v>103.9</v>
      </c>
      <c r="I17" s="7">
        <v>63.4</v>
      </c>
      <c r="J17" s="101">
        <f t="shared" si="0"/>
        <v>1</v>
      </c>
      <c r="L17" s="118" t="s">
        <v>28</v>
      </c>
      <c r="M17" s="118">
        <v>49</v>
      </c>
      <c r="N17" s="118">
        <v>4041.0328</v>
      </c>
      <c r="O17" s="118"/>
      <c r="P17" s="118"/>
      <c r="Q17" s="118"/>
    </row>
    <row r="18" spans="1:20" x14ac:dyDescent="0.15">
      <c r="A18" s="6">
        <v>14</v>
      </c>
      <c r="B18" s="7">
        <v>20.8</v>
      </c>
      <c r="C18" s="8">
        <v>30</v>
      </c>
      <c r="D18" s="9">
        <v>205.25</v>
      </c>
      <c r="E18" s="9">
        <v>71.25</v>
      </c>
      <c r="F18" s="7">
        <v>39.4</v>
      </c>
      <c r="G18" s="7">
        <v>101.8</v>
      </c>
      <c r="H18" s="7">
        <v>108.6</v>
      </c>
      <c r="I18" s="7">
        <v>66</v>
      </c>
      <c r="J18" s="101">
        <f t="shared" si="0"/>
        <v>0</v>
      </c>
    </row>
    <row r="19" spans="1:20" x14ac:dyDescent="0.15">
      <c r="A19" s="6">
        <v>15</v>
      </c>
      <c r="B19" s="7">
        <v>21.7</v>
      </c>
      <c r="C19" s="8">
        <v>35</v>
      </c>
      <c r="D19" s="9">
        <v>187.75</v>
      </c>
      <c r="E19" s="9">
        <v>69.5</v>
      </c>
      <c r="F19" s="7">
        <v>40.5</v>
      </c>
      <c r="G19" s="7">
        <v>96.4</v>
      </c>
      <c r="H19" s="7">
        <v>100.1</v>
      </c>
      <c r="I19" s="7">
        <v>69</v>
      </c>
      <c r="J19" s="101">
        <f t="shared" si="0"/>
        <v>1</v>
      </c>
      <c r="L19" s="117"/>
      <c r="M19" s="178" t="s">
        <v>29</v>
      </c>
      <c r="N19" s="178" t="s">
        <v>18</v>
      </c>
      <c r="O19" s="178" t="s">
        <v>30</v>
      </c>
      <c r="P19" s="178" t="s">
        <v>31</v>
      </c>
      <c r="Q19" s="178" t="s">
        <v>32</v>
      </c>
      <c r="R19" s="178" t="s">
        <v>33</v>
      </c>
      <c r="S19" s="178" t="s">
        <v>32</v>
      </c>
      <c r="T19" s="178" t="s">
        <v>33</v>
      </c>
    </row>
    <row r="20" spans="1:20" x14ac:dyDescent="0.15">
      <c r="A20" s="6">
        <v>16</v>
      </c>
      <c r="B20" s="7">
        <v>20.5</v>
      </c>
      <c r="C20" s="8">
        <v>35</v>
      </c>
      <c r="D20" s="9">
        <v>162.75</v>
      </c>
      <c r="E20" s="9">
        <v>66</v>
      </c>
      <c r="F20" s="7">
        <v>36.4</v>
      </c>
      <c r="G20" s="7">
        <v>92.8</v>
      </c>
      <c r="H20" s="7">
        <v>99.2</v>
      </c>
      <c r="I20" s="7">
        <v>63.1</v>
      </c>
      <c r="J20" s="101">
        <f t="shared" si="0"/>
        <v>1</v>
      </c>
      <c r="L20" t="s">
        <v>36</v>
      </c>
      <c r="M20">
        <v>-31.621101331421499</v>
      </c>
      <c r="N20">
        <v>22.144134248416201</v>
      </c>
      <c r="O20">
        <v>-1.4279673784800599</v>
      </c>
      <c r="P20">
        <v>0.16069535322168299</v>
      </c>
      <c r="Q20">
        <v>-76.309772953076404</v>
      </c>
      <c r="R20">
        <v>13.0675702902333</v>
      </c>
      <c r="S20">
        <v>-76.309772953076404</v>
      </c>
      <c r="T20">
        <v>13.0675702902333</v>
      </c>
    </row>
    <row r="21" spans="1:20" x14ac:dyDescent="0.15">
      <c r="A21" s="6">
        <v>17</v>
      </c>
      <c r="B21" s="7">
        <v>28.1</v>
      </c>
      <c r="C21" s="8">
        <v>34</v>
      </c>
      <c r="D21" s="9">
        <v>195.75</v>
      </c>
      <c r="E21" s="9">
        <v>71</v>
      </c>
      <c r="F21" s="7">
        <v>38.9</v>
      </c>
      <c r="G21" s="7">
        <v>96.4</v>
      </c>
      <c r="H21" s="7">
        <v>105.2</v>
      </c>
      <c r="I21" s="7">
        <v>64.8</v>
      </c>
      <c r="J21" s="101">
        <f t="shared" si="0"/>
        <v>1</v>
      </c>
      <c r="L21" t="s">
        <v>4</v>
      </c>
      <c r="M21">
        <v>-0.180966247006803</v>
      </c>
      <c r="N21">
        <v>7.4372969988237198E-2</v>
      </c>
      <c r="O21">
        <v>-2.4332260367634202</v>
      </c>
      <c r="P21">
        <v>1.9301844945858699E-2</v>
      </c>
      <c r="Q21">
        <v>-0.33105697514485299</v>
      </c>
      <c r="R21">
        <v>-3.0875518868753601E-2</v>
      </c>
      <c r="S21">
        <v>-0.33105697514485299</v>
      </c>
      <c r="T21">
        <v>-3.0875518868753601E-2</v>
      </c>
    </row>
    <row r="22" spans="1:20" x14ac:dyDescent="0.15">
      <c r="A22" s="6">
        <v>18</v>
      </c>
      <c r="B22" s="7">
        <v>22.4</v>
      </c>
      <c r="C22" s="8">
        <v>32</v>
      </c>
      <c r="D22" s="9">
        <v>209.25</v>
      </c>
      <c r="E22" s="9">
        <v>71</v>
      </c>
      <c r="F22" s="7">
        <v>42.1</v>
      </c>
      <c r="G22" s="7">
        <v>97.5</v>
      </c>
      <c r="H22" s="7">
        <v>107</v>
      </c>
      <c r="I22" s="7">
        <v>66.900000000000006</v>
      </c>
      <c r="J22" s="101">
        <f t="shared" si="0"/>
        <v>1</v>
      </c>
      <c r="L22" s="141" t="s">
        <v>5</v>
      </c>
      <c r="M22">
        <v>-6.9341799872851703E-2</v>
      </c>
      <c r="N22">
        <v>0.10879369330034799</v>
      </c>
      <c r="O22">
        <v>-0.63736966518287796</v>
      </c>
      <c r="P22" s="141">
        <v>0.52734349540838199</v>
      </c>
      <c r="Q22">
        <v>-0.28889635910128503</v>
      </c>
      <c r="R22">
        <v>0.15021275935558201</v>
      </c>
      <c r="S22">
        <v>-0.28889635910128503</v>
      </c>
      <c r="T22">
        <v>0.15021275935558201</v>
      </c>
    </row>
    <row r="23" spans="1:20" x14ac:dyDescent="0.15">
      <c r="A23" s="6">
        <v>19</v>
      </c>
      <c r="B23" s="7">
        <v>16.100000000000001</v>
      </c>
      <c r="C23" s="8">
        <v>28</v>
      </c>
      <c r="D23" s="9">
        <v>183.75</v>
      </c>
      <c r="E23" s="9">
        <v>67.75</v>
      </c>
      <c r="F23" s="7">
        <v>38</v>
      </c>
      <c r="G23" s="7">
        <v>89.6</v>
      </c>
      <c r="H23" s="7">
        <v>102.4</v>
      </c>
      <c r="I23" s="7">
        <v>64.2</v>
      </c>
      <c r="J23" s="101">
        <f t="shared" si="0"/>
        <v>0</v>
      </c>
      <c r="L23" t="s">
        <v>6</v>
      </c>
      <c r="M23">
        <v>-0.35528335662716398</v>
      </c>
      <c r="N23">
        <v>0.37864860135982498</v>
      </c>
      <c r="O23">
        <v>-0.93829306473402896</v>
      </c>
      <c r="P23">
        <v>0.35345861426386299</v>
      </c>
      <c r="Q23">
        <v>-1.11942716176952</v>
      </c>
      <c r="R23">
        <v>0.40886044851519898</v>
      </c>
      <c r="S23">
        <v>-1.11942716176952</v>
      </c>
      <c r="T23">
        <v>0.40886044851519898</v>
      </c>
    </row>
    <row r="24" spans="1:20" x14ac:dyDescent="0.15">
      <c r="A24" s="6">
        <v>20</v>
      </c>
      <c r="B24" s="7">
        <v>16.5</v>
      </c>
      <c r="C24" s="8">
        <v>33</v>
      </c>
      <c r="D24" s="9">
        <v>211.75</v>
      </c>
      <c r="E24" s="9">
        <v>73.5</v>
      </c>
      <c r="F24" s="7">
        <v>40</v>
      </c>
      <c r="G24" s="7">
        <v>100.5</v>
      </c>
      <c r="H24" s="7">
        <v>109</v>
      </c>
      <c r="I24" s="7">
        <v>65.8</v>
      </c>
      <c r="J24" s="101">
        <f t="shared" si="0"/>
        <v>1</v>
      </c>
      <c r="L24" t="s">
        <v>8</v>
      </c>
      <c r="M24">
        <v>0.90386549887788803</v>
      </c>
      <c r="N24">
        <v>0.12585872448834801</v>
      </c>
      <c r="O24">
        <v>7.1815879475368796</v>
      </c>
      <c r="P24" s="91">
        <v>8.0027158494387896E-9</v>
      </c>
      <c r="Q24">
        <v>0.64987231285922897</v>
      </c>
      <c r="R24">
        <v>1.15785868489654</v>
      </c>
      <c r="S24">
        <v>0.64987231285922897</v>
      </c>
      <c r="T24">
        <v>1.15785868489654</v>
      </c>
    </row>
    <row r="25" spans="1:20" x14ac:dyDescent="0.15">
      <c r="A25" s="6">
        <v>21</v>
      </c>
      <c r="B25" s="7">
        <v>19</v>
      </c>
      <c r="C25" s="8">
        <v>28</v>
      </c>
      <c r="D25" s="9">
        <v>179</v>
      </c>
      <c r="E25" s="9">
        <v>68</v>
      </c>
      <c r="F25" s="7">
        <v>39.1</v>
      </c>
      <c r="G25" s="7">
        <v>95.9</v>
      </c>
      <c r="H25" s="7">
        <v>104.9</v>
      </c>
      <c r="I25" s="7">
        <v>63.5</v>
      </c>
      <c r="J25" s="101">
        <f t="shared" si="0"/>
        <v>0</v>
      </c>
      <c r="L25" t="s">
        <v>9</v>
      </c>
      <c r="M25">
        <v>-0.27005173800176502</v>
      </c>
      <c r="N25">
        <v>0.26768467868715701</v>
      </c>
      <c r="O25">
        <v>-1.00884271496679</v>
      </c>
      <c r="P25" s="91">
        <v>0.318827068238907</v>
      </c>
      <c r="Q25">
        <v>-0.81026128378042395</v>
      </c>
      <c r="R25">
        <v>0.27015780777689202</v>
      </c>
      <c r="S25">
        <v>-0.81026128378042395</v>
      </c>
      <c r="T25">
        <v>0.27015780777689202</v>
      </c>
    </row>
    <row r="26" spans="1:20" x14ac:dyDescent="0.15">
      <c r="A26" s="6">
        <v>22</v>
      </c>
      <c r="B26" s="7">
        <v>15.3</v>
      </c>
      <c r="C26" s="8">
        <v>28</v>
      </c>
      <c r="D26" s="9">
        <v>200.5</v>
      </c>
      <c r="E26" s="9">
        <v>69.75</v>
      </c>
      <c r="F26" s="7">
        <v>41.3</v>
      </c>
      <c r="G26" s="7">
        <v>98.8</v>
      </c>
      <c r="H26" s="7">
        <v>104.8</v>
      </c>
      <c r="I26" s="7">
        <v>63.4</v>
      </c>
      <c r="J26" s="101">
        <f t="shared" si="0"/>
        <v>0</v>
      </c>
      <c r="L26" t="s">
        <v>10</v>
      </c>
      <c r="M26">
        <v>0.71597804148378097</v>
      </c>
      <c r="N26">
        <v>0.26507861892224199</v>
      </c>
      <c r="O26">
        <v>2.7010026096967299</v>
      </c>
      <c r="P26">
        <v>9.9253214063262599E-3</v>
      </c>
      <c r="Q26">
        <v>0.18102773717079601</v>
      </c>
      <c r="R26">
        <v>1.2509283457967599</v>
      </c>
      <c r="S26">
        <v>0.18102773717079601</v>
      </c>
      <c r="T26">
        <v>1.2509283457967599</v>
      </c>
    </row>
    <row r="27" spans="1:20" x14ac:dyDescent="0.15">
      <c r="A27" s="6">
        <v>23</v>
      </c>
      <c r="B27" s="7">
        <v>15.7</v>
      </c>
      <c r="C27" s="8">
        <v>31</v>
      </c>
      <c r="D27" s="9">
        <v>140.25</v>
      </c>
      <c r="E27" s="9">
        <v>68.25</v>
      </c>
      <c r="F27" s="7">
        <v>33.9</v>
      </c>
      <c r="G27" s="7">
        <v>76.400000000000006</v>
      </c>
      <c r="H27" s="7">
        <v>94.6</v>
      </c>
      <c r="I27" s="7">
        <v>57.4</v>
      </c>
      <c r="J27" s="101">
        <f t="shared" si="0"/>
        <v>1</v>
      </c>
      <c r="L27" s="118" t="s">
        <v>3</v>
      </c>
      <c r="M27" s="118">
        <v>2.1117725328955101</v>
      </c>
      <c r="N27" s="118">
        <v>1.2475414457316401</v>
      </c>
      <c r="O27" s="118">
        <v>1.69274739538374</v>
      </c>
      <c r="P27" s="118">
        <v>9.7910012537910998E-2</v>
      </c>
      <c r="Q27" s="118">
        <v>-0.40586800239401599</v>
      </c>
      <c r="R27" s="118">
        <v>4.6294130681850403</v>
      </c>
      <c r="S27" s="118">
        <v>-0.40586800239401599</v>
      </c>
      <c r="T27" s="118">
        <v>4.6294130681850403</v>
      </c>
    </row>
    <row r="28" spans="1:20" x14ac:dyDescent="0.15">
      <c r="A28" s="6">
        <v>24</v>
      </c>
      <c r="B28" s="7">
        <v>17.600000000000001</v>
      </c>
      <c r="C28" s="8">
        <v>32</v>
      </c>
      <c r="D28" s="9">
        <v>148.75</v>
      </c>
      <c r="E28" s="9">
        <v>70</v>
      </c>
      <c r="F28" s="7">
        <v>35.5</v>
      </c>
      <c r="G28" s="7">
        <v>80</v>
      </c>
      <c r="H28" s="7">
        <v>93.4</v>
      </c>
      <c r="I28" s="7">
        <v>54.9</v>
      </c>
      <c r="J28" s="101">
        <f t="shared" si="0"/>
        <v>1</v>
      </c>
    </row>
    <row r="29" spans="1:20" x14ac:dyDescent="0.15">
      <c r="A29" s="6">
        <v>25</v>
      </c>
      <c r="B29" s="7">
        <v>14.2</v>
      </c>
      <c r="C29" s="8">
        <v>28</v>
      </c>
      <c r="D29" s="9">
        <v>151.25</v>
      </c>
      <c r="E29" s="9">
        <v>67.75</v>
      </c>
      <c r="F29" s="7">
        <v>34.5</v>
      </c>
      <c r="G29" s="7">
        <v>76.3</v>
      </c>
      <c r="H29" s="7">
        <v>95.8</v>
      </c>
      <c r="I29" s="7">
        <v>58.4</v>
      </c>
      <c r="J29" s="101">
        <f t="shared" si="0"/>
        <v>0</v>
      </c>
    </row>
    <row r="30" spans="1:20" x14ac:dyDescent="0.15">
      <c r="A30" s="6">
        <v>26</v>
      </c>
      <c r="B30" s="7">
        <v>4.5999999999999996</v>
      </c>
      <c r="C30" s="8">
        <v>27</v>
      </c>
      <c r="D30" s="9">
        <v>159.25</v>
      </c>
      <c r="E30" s="9">
        <v>71.5</v>
      </c>
      <c r="F30" s="7">
        <v>35.700000000000003</v>
      </c>
      <c r="G30" s="7">
        <v>79.7</v>
      </c>
      <c r="H30" s="7">
        <v>96.5</v>
      </c>
      <c r="I30" s="7">
        <v>55</v>
      </c>
      <c r="J30" s="101">
        <f t="shared" si="0"/>
        <v>0</v>
      </c>
      <c r="L30" s="127" t="s">
        <v>61</v>
      </c>
    </row>
    <row r="31" spans="1:20" x14ac:dyDescent="0.15">
      <c r="A31" s="6">
        <v>27</v>
      </c>
      <c r="B31" s="7">
        <v>8.5</v>
      </c>
      <c r="C31" s="8">
        <v>34</v>
      </c>
      <c r="D31" s="9">
        <v>131.5</v>
      </c>
      <c r="E31" s="9">
        <v>67.5</v>
      </c>
      <c r="F31" s="7">
        <v>36.200000000000003</v>
      </c>
      <c r="G31" s="7">
        <v>74.599999999999994</v>
      </c>
      <c r="H31" s="7">
        <v>85.3</v>
      </c>
      <c r="I31" s="7">
        <v>51.7</v>
      </c>
      <c r="J31" s="101">
        <f t="shared" si="0"/>
        <v>1</v>
      </c>
    </row>
    <row r="32" spans="1:20" x14ac:dyDescent="0.15">
      <c r="A32" s="6">
        <v>28</v>
      </c>
      <c r="B32" s="7">
        <v>22.4</v>
      </c>
      <c r="C32" s="8">
        <v>31</v>
      </c>
      <c r="D32" s="9">
        <v>148</v>
      </c>
      <c r="E32" s="9">
        <v>67.5</v>
      </c>
      <c r="F32" s="7">
        <v>38.799999999999997</v>
      </c>
      <c r="G32" s="7">
        <v>88.7</v>
      </c>
      <c r="H32" s="7">
        <v>94.7</v>
      </c>
      <c r="I32" s="7">
        <v>57.5</v>
      </c>
      <c r="J32" s="101">
        <f t="shared" si="0"/>
        <v>1</v>
      </c>
    </row>
    <row r="33" spans="1:10" x14ac:dyDescent="0.15">
      <c r="A33" s="6">
        <v>29</v>
      </c>
      <c r="B33" s="7">
        <v>4.7</v>
      </c>
      <c r="C33" s="8">
        <v>27</v>
      </c>
      <c r="D33" s="9">
        <v>133.25</v>
      </c>
      <c r="E33" s="9">
        <v>64.75</v>
      </c>
      <c r="F33" s="7">
        <v>36.4</v>
      </c>
      <c r="G33" s="7">
        <v>73.900000000000006</v>
      </c>
      <c r="H33" s="7">
        <v>88.5</v>
      </c>
      <c r="I33" s="7">
        <v>50.1</v>
      </c>
      <c r="J33" s="101">
        <f t="shared" si="0"/>
        <v>0</v>
      </c>
    </row>
    <row r="34" spans="1:10" x14ac:dyDescent="0.15">
      <c r="A34" s="6">
        <v>30</v>
      </c>
      <c r="B34" s="7">
        <v>9.4</v>
      </c>
      <c r="C34" s="8">
        <v>29</v>
      </c>
      <c r="D34" s="9">
        <v>160.75</v>
      </c>
      <c r="E34" s="9">
        <v>69</v>
      </c>
      <c r="F34" s="7">
        <v>36.700000000000003</v>
      </c>
      <c r="G34" s="7">
        <v>83.5</v>
      </c>
      <c r="H34" s="7">
        <v>98.7</v>
      </c>
      <c r="I34" s="7">
        <v>58.9</v>
      </c>
      <c r="J34" s="101">
        <f t="shared" si="0"/>
        <v>0</v>
      </c>
    </row>
    <row r="35" spans="1:10" x14ac:dyDescent="0.15">
      <c r="A35" s="6">
        <v>31</v>
      </c>
      <c r="B35" s="7">
        <v>12.3</v>
      </c>
      <c r="C35" s="8">
        <v>32</v>
      </c>
      <c r="D35" s="9">
        <v>182</v>
      </c>
      <c r="E35" s="9">
        <v>73.75</v>
      </c>
      <c r="F35" s="7">
        <v>38.700000000000003</v>
      </c>
      <c r="G35" s="7">
        <v>88.7</v>
      </c>
      <c r="H35" s="7">
        <v>99.8</v>
      </c>
      <c r="I35" s="7">
        <v>57.5</v>
      </c>
      <c r="J35" s="101">
        <f t="shared" si="0"/>
        <v>1</v>
      </c>
    </row>
    <row r="36" spans="1:10" x14ac:dyDescent="0.15">
      <c r="A36" s="6">
        <v>32</v>
      </c>
      <c r="B36" s="7">
        <v>6.5</v>
      </c>
      <c r="C36" s="8">
        <v>29</v>
      </c>
      <c r="D36" s="9">
        <v>160.25</v>
      </c>
      <c r="E36" s="9">
        <v>71.25</v>
      </c>
      <c r="F36" s="7">
        <v>37.299999999999997</v>
      </c>
      <c r="G36" s="7">
        <v>84.5</v>
      </c>
      <c r="H36" s="7">
        <v>100.6</v>
      </c>
      <c r="I36" s="7">
        <v>58.5</v>
      </c>
      <c r="J36" s="101">
        <f t="shared" si="0"/>
        <v>0</v>
      </c>
    </row>
    <row r="37" spans="1:10" x14ac:dyDescent="0.15">
      <c r="A37" s="6">
        <v>33</v>
      </c>
      <c r="B37" s="7">
        <v>13.4</v>
      </c>
      <c r="C37" s="8">
        <v>27</v>
      </c>
      <c r="D37" s="9">
        <v>168</v>
      </c>
      <c r="E37" s="9">
        <v>71.25</v>
      </c>
      <c r="F37" s="7">
        <v>38.1</v>
      </c>
      <c r="G37" s="7">
        <v>79.099999999999994</v>
      </c>
      <c r="H37" s="7">
        <v>94.5</v>
      </c>
      <c r="I37" s="7">
        <v>57.3</v>
      </c>
      <c r="J37" s="101">
        <f t="shared" si="0"/>
        <v>0</v>
      </c>
    </row>
    <row r="38" spans="1:10" x14ac:dyDescent="0.15">
      <c r="A38" s="6">
        <v>34</v>
      </c>
      <c r="B38" s="7">
        <v>20.9</v>
      </c>
      <c r="C38" s="8">
        <v>41</v>
      </c>
      <c r="D38" s="9">
        <v>218.5</v>
      </c>
      <c r="E38" s="9">
        <v>71</v>
      </c>
      <c r="F38" s="7">
        <v>39.799999999999997</v>
      </c>
      <c r="G38" s="7">
        <v>100.5</v>
      </c>
      <c r="H38" s="7">
        <v>108.3</v>
      </c>
      <c r="I38" s="7">
        <v>67.099999999999994</v>
      </c>
      <c r="J38" s="101">
        <f t="shared" si="0"/>
        <v>1</v>
      </c>
    </row>
    <row r="39" spans="1:10" x14ac:dyDescent="0.15">
      <c r="A39" s="6">
        <v>35</v>
      </c>
      <c r="B39" s="7">
        <v>31.1</v>
      </c>
      <c r="C39" s="8">
        <v>41</v>
      </c>
      <c r="D39" s="9">
        <v>247.25</v>
      </c>
      <c r="E39" s="9">
        <v>73.5</v>
      </c>
      <c r="F39" s="7">
        <v>42.1</v>
      </c>
      <c r="G39" s="7">
        <v>115.6</v>
      </c>
      <c r="H39" s="7">
        <v>116.1</v>
      </c>
      <c r="I39" s="7">
        <v>71.2</v>
      </c>
      <c r="J39" s="101">
        <f t="shared" si="0"/>
        <v>1</v>
      </c>
    </row>
    <row r="40" spans="1:10" x14ac:dyDescent="0.15">
      <c r="A40" s="6">
        <v>36</v>
      </c>
      <c r="B40" s="7">
        <v>38.200000000000003</v>
      </c>
      <c r="C40" s="8">
        <v>49</v>
      </c>
      <c r="D40" s="9">
        <v>191.75</v>
      </c>
      <c r="E40" s="9">
        <v>65</v>
      </c>
      <c r="F40" s="7">
        <v>38.4</v>
      </c>
      <c r="G40" s="7">
        <v>113.1</v>
      </c>
      <c r="H40" s="7">
        <v>113.8</v>
      </c>
      <c r="I40" s="7">
        <v>61.9</v>
      </c>
      <c r="J40" s="101">
        <f t="shared" si="0"/>
        <v>1</v>
      </c>
    </row>
    <row r="41" spans="1:10" x14ac:dyDescent="0.15">
      <c r="A41" s="6">
        <v>37</v>
      </c>
      <c r="B41" s="7">
        <v>23.6</v>
      </c>
      <c r="C41" s="8">
        <v>40</v>
      </c>
      <c r="D41" s="9">
        <v>202.25</v>
      </c>
      <c r="E41" s="9">
        <v>70</v>
      </c>
      <c r="F41" s="7">
        <v>38.5</v>
      </c>
      <c r="G41" s="7">
        <v>100.9</v>
      </c>
      <c r="H41" s="7">
        <v>106.2</v>
      </c>
      <c r="I41" s="7">
        <v>63.5</v>
      </c>
      <c r="J41" s="101">
        <f t="shared" si="0"/>
        <v>1</v>
      </c>
    </row>
    <row r="42" spans="1:10" x14ac:dyDescent="0.15">
      <c r="A42" s="6">
        <v>38</v>
      </c>
      <c r="B42" s="7">
        <v>27.5</v>
      </c>
      <c r="C42" s="8">
        <v>50</v>
      </c>
      <c r="D42" s="9">
        <v>196.75</v>
      </c>
      <c r="E42" s="9">
        <v>68.25</v>
      </c>
      <c r="F42" s="7">
        <v>42.1</v>
      </c>
      <c r="G42" s="7">
        <v>98.8</v>
      </c>
      <c r="H42" s="7">
        <v>104.8</v>
      </c>
      <c r="I42" s="7">
        <v>66</v>
      </c>
      <c r="J42" s="101">
        <f t="shared" si="0"/>
        <v>1</v>
      </c>
    </row>
    <row r="43" spans="1:10" x14ac:dyDescent="0.15">
      <c r="A43" s="6">
        <v>39</v>
      </c>
      <c r="B43" s="7">
        <v>33.799999999999997</v>
      </c>
      <c r="C43" s="8">
        <v>46</v>
      </c>
      <c r="D43" s="9">
        <v>363.15</v>
      </c>
      <c r="E43" s="9">
        <v>72.25</v>
      </c>
      <c r="F43" s="7">
        <v>51.2</v>
      </c>
      <c r="G43" s="7">
        <v>148.1</v>
      </c>
      <c r="H43" s="7">
        <v>147.69999999999999</v>
      </c>
      <c r="I43" s="7">
        <v>87.3</v>
      </c>
      <c r="J43" s="101">
        <f t="shared" si="0"/>
        <v>1</v>
      </c>
    </row>
    <row r="44" spans="1:10" x14ac:dyDescent="0.15">
      <c r="A44" s="6">
        <v>40</v>
      </c>
      <c r="B44" s="7">
        <v>31.3</v>
      </c>
      <c r="C44" s="8">
        <v>50</v>
      </c>
      <c r="D44" s="9">
        <v>203</v>
      </c>
      <c r="E44" s="9">
        <v>67</v>
      </c>
      <c r="F44" s="7">
        <v>40.200000000000003</v>
      </c>
      <c r="G44" s="7">
        <v>108.1</v>
      </c>
      <c r="H44" s="7">
        <v>102.5</v>
      </c>
      <c r="I44" s="7">
        <v>61.3</v>
      </c>
      <c r="J44" s="101">
        <f t="shared" si="0"/>
        <v>1</v>
      </c>
    </row>
    <row r="45" spans="1:10" x14ac:dyDescent="0.15">
      <c r="A45" s="6">
        <v>41</v>
      </c>
      <c r="B45" s="7">
        <v>33.1</v>
      </c>
      <c r="C45" s="8">
        <v>45</v>
      </c>
      <c r="D45" s="9">
        <v>262.75</v>
      </c>
      <c r="E45" s="9">
        <v>68.75</v>
      </c>
      <c r="F45" s="7">
        <v>43.2</v>
      </c>
      <c r="G45" s="7">
        <v>126.2</v>
      </c>
      <c r="H45" s="7">
        <v>125.6</v>
      </c>
      <c r="I45" s="7">
        <v>72.5</v>
      </c>
      <c r="J45" s="101">
        <f t="shared" si="0"/>
        <v>1</v>
      </c>
    </row>
    <row r="46" spans="1:10" x14ac:dyDescent="0.15">
      <c r="A46" s="6">
        <v>42</v>
      </c>
      <c r="B46" s="7">
        <v>31.7</v>
      </c>
      <c r="C46" s="8">
        <v>44</v>
      </c>
      <c r="D46" s="9">
        <v>205</v>
      </c>
      <c r="E46" s="9">
        <v>29.5</v>
      </c>
      <c r="F46" s="7">
        <v>36.6</v>
      </c>
      <c r="G46" s="7">
        <v>104.3</v>
      </c>
      <c r="H46" s="7">
        <v>115.5</v>
      </c>
      <c r="I46" s="7">
        <v>70.599999999999994</v>
      </c>
      <c r="J46" s="101">
        <f t="shared" si="0"/>
        <v>1</v>
      </c>
    </row>
    <row r="47" spans="1:10" x14ac:dyDescent="0.15">
      <c r="A47" s="6">
        <v>43</v>
      </c>
      <c r="B47" s="7">
        <v>30.4</v>
      </c>
      <c r="C47" s="8">
        <v>48</v>
      </c>
      <c r="D47" s="9">
        <v>217</v>
      </c>
      <c r="E47" s="9">
        <v>70</v>
      </c>
      <c r="F47" s="7">
        <v>37.299999999999997</v>
      </c>
      <c r="G47" s="7">
        <v>111.2</v>
      </c>
      <c r="H47" s="7">
        <v>114.1</v>
      </c>
      <c r="I47" s="7">
        <v>67.7</v>
      </c>
      <c r="J47" s="101">
        <f t="shared" si="0"/>
        <v>1</v>
      </c>
    </row>
    <row r="48" spans="1:10" x14ac:dyDescent="0.15">
      <c r="A48" s="6">
        <v>44</v>
      </c>
      <c r="B48" s="7">
        <v>30.8</v>
      </c>
      <c r="C48" s="8">
        <v>41</v>
      </c>
      <c r="D48" s="9">
        <v>212</v>
      </c>
      <c r="E48" s="9">
        <v>71.5</v>
      </c>
      <c r="F48" s="7">
        <v>41.5</v>
      </c>
      <c r="G48" s="7">
        <v>104.3</v>
      </c>
      <c r="H48" s="7">
        <v>106</v>
      </c>
      <c r="I48" s="7">
        <v>65</v>
      </c>
      <c r="J48" s="101">
        <f t="shared" si="0"/>
        <v>1</v>
      </c>
    </row>
    <row r="49" spans="1:10" x14ac:dyDescent="0.15">
      <c r="A49" s="6">
        <v>45</v>
      </c>
      <c r="B49" s="7">
        <v>8.4</v>
      </c>
      <c r="C49" s="8">
        <v>39</v>
      </c>
      <c r="D49" s="9">
        <v>125.25</v>
      </c>
      <c r="E49" s="9">
        <v>68</v>
      </c>
      <c r="F49" s="7">
        <v>31.5</v>
      </c>
      <c r="G49" s="7">
        <v>76</v>
      </c>
      <c r="H49" s="7">
        <v>88.2</v>
      </c>
      <c r="I49" s="7">
        <v>50</v>
      </c>
      <c r="J49" s="101">
        <f t="shared" si="0"/>
        <v>1</v>
      </c>
    </row>
    <row r="50" spans="1:10" x14ac:dyDescent="0.15">
      <c r="A50" s="6">
        <v>46</v>
      </c>
      <c r="B50" s="7">
        <v>14.1</v>
      </c>
      <c r="C50" s="8">
        <v>43</v>
      </c>
      <c r="D50" s="9">
        <v>164.25</v>
      </c>
      <c r="E50" s="9">
        <v>73.25</v>
      </c>
      <c r="F50" s="7">
        <v>35.700000000000003</v>
      </c>
      <c r="G50" s="7">
        <v>81.5</v>
      </c>
      <c r="H50" s="7">
        <v>97.2</v>
      </c>
      <c r="I50" s="7">
        <v>58.4</v>
      </c>
      <c r="J50" s="101">
        <f t="shared" si="0"/>
        <v>1</v>
      </c>
    </row>
    <row r="51" spans="1:10" x14ac:dyDescent="0.15">
      <c r="A51" s="6">
        <v>47</v>
      </c>
      <c r="B51" s="7">
        <v>11.2</v>
      </c>
      <c r="C51" s="8">
        <v>40</v>
      </c>
      <c r="D51" s="9">
        <v>133.5</v>
      </c>
      <c r="E51" s="9">
        <v>67.5</v>
      </c>
      <c r="F51" s="7">
        <v>33.6</v>
      </c>
      <c r="G51" s="7">
        <v>73.7</v>
      </c>
      <c r="H51" s="7">
        <v>88.5</v>
      </c>
      <c r="I51" s="7">
        <v>53.3</v>
      </c>
      <c r="J51" s="101">
        <f t="shared" si="0"/>
        <v>1</v>
      </c>
    </row>
    <row r="52" spans="1:10" x14ac:dyDescent="0.15">
      <c r="A52" s="6">
        <v>48</v>
      </c>
      <c r="B52" s="7">
        <v>6.4</v>
      </c>
      <c r="C52" s="8">
        <v>39</v>
      </c>
      <c r="D52" s="9">
        <v>148.5</v>
      </c>
      <c r="E52" s="9">
        <v>71.25</v>
      </c>
      <c r="F52" s="7">
        <v>34.6</v>
      </c>
      <c r="G52" s="7">
        <v>79.5</v>
      </c>
      <c r="H52" s="7">
        <v>92.7</v>
      </c>
      <c r="I52" s="7">
        <v>52.7</v>
      </c>
      <c r="J52" s="101">
        <f t="shared" si="0"/>
        <v>1</v>
      </c>
    </row>
    <row r="53" spans="1:10" x14ac:dyDescent="0.15">
      <c r="A53" s="6">
        <v>49</v>
      </c>
      <c r="B53" s="7">
        <v>13.4</v>
      </c>
      <c r="C53" s="8">
        <v>45</v>
      </c>
      <c r="D53" s="9">
        <v>135.75</v>
      </c>
      <c r="E53" s="9">
        <v>68.5</v>
      </c>
      <c r="F53" s="7">
        <v>32.799999999999997</v>
      </c>
      <c r="G53" s="7">
        <v>83.4</v>
      </c>
      <c r="H53" s="7">
        <v>90.4</v>
      </c>
      <c r="I53" s="7">
        <v>52</v>
      </c>
      <c r="J53" s="101">
        <f t="shared" si="0"/>
        <v>1</v>
      </c>
    </row>
    <row r="54" spans="1:10" x14ac:dyDescent="0.15">
      <c r="A54" s="11">
        <v>50</v>
      </c>
      <c r="B54" s="12">
        <v>5</v>
      </c>
      <c r="C54" s="134">
        <v>47</v>
      </c>
      <c r="D54" s="133">
        <v>127.5</v>
      </c>
      <c r="E54" s="133">
        <v>66.75</v>
      </c>
      <c r="F54" s="12">
        <v>34</v>
      </c>
      <c r="G54" s="12">
        <v>70.400000000000006</v>
      </c>
      <c r="H54" s="12">
        <v>87.2</v>
      </c>
      <c r="I54" s="12">
        <v>50.6</v>
      </c>
      <c r="J54" s="101">
        <f t="shared" si="0"/>
        <v>1</v>
      </c>
    </row>
  </sheetData>
  <mergeCells count="1">
    <mergeCell ref="L6:M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4B1A-12E5-4C19-ABA3-366543498427}">
  <dimension ref="A2:S54"/>
  <sheetViews>
    <sheetView topLeftCell="B1" workbookViewId="0">
      <selection activeCell="Q35" sqref="Q35"/>
    </sheetView>
  </sheetViews>
  <sheetFormatPr baseColWidth="10" defaultColWidth="8.83203125" defaultRowHeight="13" x14ac:dyDescent="0.15"/>
  <cols>
    <col min="11" max="11" width="19.1640625" bestFit="1" customWidth="1"/>
    <col min="12" max="12" width="14.6640625" customWidth="1"/>
    <col min="13" max="13" width="17.5" customWidth="1"/>
    <col min="14" max="14" width="13.6640625" customWidth="1"/>
    <col min="15" max="15" width="15.33203125" customWidth="1"/>
    <col min="16" max="16" width="19.1640625" customWidth="1"/>
    <col min="17" max="17" width="15.5" customWidth="1"/>
    <col min="18" max="18" width="15" customWidth="1"/>
    <col min="19" max="19" width="21.33203125" customWidth="1"/>
  </cols>
  <sheetData>
    <row r="2" spans="1:16" ht="16" x14ac:dyDescent="0.2">
      <c r="A2" s="16" t="s">
        <v>0</v>
      </c>
    </row>
    <row r="4" spans="1:16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6</v>
      </c>
      <c r="F4" s="18" t="s">
        <v>8</v>
      </c>
      <c r="G4" s="18" t="s">
        <v>9</v>
      </c>
      <c r="H4" s="18" t="s">
        <v>10</v>
      </c>
      <c r="I4" s="18" t="s">
        <v>3</v>
      </c>
      <c r="K4" t="s">
        <v>12</v>
      </c>
    </row>
    <row r="5" spans="1:16" x14ac:dyDescent="0.15">
      <c r="A5" s="1">
        <v>1</v>
      </c>
      <c r="B5" s="2">
        <v>12.6</v>
      </c>
      <c r="C5" s="3">
        <v>23</v>
      </c>
      <c r="D5" s="4">
        <v>154.25</v>
      </c>
      <c r="E5" s="2">
        <v>36.200000000000003</v>
      </c>
      <c r="F5" s="2">
        <v>85.2</v>
      </c>
      <c r="G5" s="2">
        <v>94.5</v>
      </c>
      <c r="H5" s="2">
        <v>59</v>
      </c>
      <c r="I5" s="101">
        <f>IF(C5&gt;30,1,0)</f>
        <v>0</v>
      </c>
    </row>
    <row r="6" spans="1:16" x14ac:dyDescent="0.15">
      <c r="A6" s="6">
        <v>2</v>
      </c>
      <c r="B6" s="7">
        <v>6.9</v>
      </c>
      <c r="C6" s="8">
        <v>22</v>
      </c>
      <c r="D6" s="9">
        <v>173.25</v>
      </c>
      <c r="E6" s="7">
        <v>38.5</v>
      </c>
      <c r="F6" s="7">
        <v>83</v>
      </c>
      <c r="G6" s="7">
        <v>98.7</v>
      </c>
      <c r="H6" s="7">
        <v>58.7</v>
      </c>
      <c r="I6" s="101">
        <f t="shared" ref="I6:I54" si="0">IF(C6&gt;30,1,0)</f>
        <v>0</v>
      </c>
      <c r="K6" s="249" t="s">
        <v>14</v>
      </c>
      <c r="L6" s="249"/>
    </row>
    <row r="7" spans="1:16" x14ac:dyDescent="0.15">
      <c r="A7" s="6">
        <v>3</v>
      </c>
      <c r="B7" s="7">
        <v>24.6</v>
      </c>
      <c r="C7" s="8">
        <v>22</v>
      </c>
      <c r="D7" s="9">
        <v>154</v>
      </c>
      <c r="E7" s="7">
        <v>34</v>
      </c>
      <c r="F7" s="7">
        <v>87.9</v>
      </c>
      <c r="G7" s="7">
        <v>99.2</v>
      </c>
      <c r="H7" s="7">
        <v>59.6</v>
      </c>
      <c r="I7" s="101">
        <f t="shared" si="0"/>
        <v>0</v>
      </c>
      <c r="K7" t="s">
        <v>15</v>
      </c>
      <c r="L7">
        <v>0.91975855737922396</v>
      </c>
    </row>
    <row r="8" spans="1:16" x14ac:dyDescent="0.15">
      <c r="A8" s="6">
        <v>4</v>
      </c>
      <c r="B8" s="7">
        <v>10.9</v>
      </c>
      <c r="C8" s="8">
        <v>26</v>
      </c>
      <c r="D8" s="9">
        <v>184.75</v>
      </c>
      <c r="E8" s="7">
        <v>37.4</v>
      </c>
      <c r="F8" s="7">
        <v>86.4</v>
      </c>
      <c r="G8" s="7">
        <v>101.2</v>
      </c>
      <c r="H8" s="7">
        <v>60.1</v>
      </c>
      <c r="I8" s="101">
        <f t="shared" si="0"/>
        <v>0</v>
      </c>
      <c r="K8" t="s">
        <v>16</v>
      </c>
      <c r="L8">
        <v>0.84595580387231095</v>
      </c>
    </row>
    <row r="9" spans="1:16" x14ac:dyDescent="0.15">
      <c r="A9" s="6">
        <v>5</v>
      </c>
      <c r="B9" s="7">
        <v>27.8</v>
      </c>
      <c r="C9" s="8">
        <v>24</v>
      </c>
      <c r="D9" s="9">
        <v>184.25</v>
      </c>
      <c r="E9" s="7">
        <v>34.4</v>
      </c>
      <c r="F9" s="7">
        <v>100</v>
      </c>
      <c r="G9" s="7">
        <v>101.9</v>
      </c>
      <c r="H9" s="7">
        <v>63.2</v>
      </c>
      <c r="I9" s="101">
        <f t="shared" si="0"/>
        <v>0</v>
      </c>
      <c r="K9" t="s">
        <v>17</v>
      </c>
      <c r="L9" s="116">
        <v>0.82446126487774896</v>
      </c>
    </row>
    <row r="10" spans="1:16" x14ac:dyDescent="0.15">
      <c r="A10" s="6">
        <v>6</v>
      </c>
      <c r="B10" s="7">
        <v>20.6</v>
      </c>
      <c r="C10" s="8">
        <v>24</v>
      </c>
      <c r="D10" s="9">
        <v>210.25</v>
      </c>
      <c r="E10" s="7">
        <v>39</v>
      </c>
      <c r="F10" s="7">
        <v>94.4</v>
      </c>
      <c r="G10" s="7">
        <v>107.8</v>
      </c>
      <c r="H10" s="7">
        <v>66</v>
      </c>
      <c r="I10" s="101">
        <f t="shared" si="0"/>
        <v>0</v>
      </c>
      <c r="K10" t="s">
        <v>18</v>
      </c>
      <c r="L10">
        <v>3.8048245053243601</v>
      </c>
    </row>
    <row r="11" spans="1:16" x14ac:dyDescent="0.15">
      <c r="A11" s="6">
        <v>7</v>
      </c>
      <c r="B11" s="7">
        <v>19</v>
      </c>
      <c r="C11" s="8">
        <v>26</v>
      </c>
      <c r="D11" s="9">
        <v>181</v>
      </c>
      <c r="E11" s="7">
        <v>36.4</v>
      </c>
      <c r="F11" s="7">
        <v>90.7</v>
      </c>
      <c r="G11" s="7">
        <v>100.3</v>
      </c>
      <c r="H11" s="7">
        <v>58.4</v>
      </c>
      <c r="I11" s="101">
        <f t="shared" si="0"/>
        <v>0</v>
      </c>
      <c r="K11" s="118" t="s">
        <v>19</v>
      </c>
      <c r="L11" s="118">
        <v>50</v>
      </c>
    </row>
    <row r="12" spans="1:16" x14ac:dyDescent="0.15">
      <c r="A12" s="6">
        <v>8</v>
      </c>
      <c r="B12" s="7">
        <v>12.8</v>
      </c>
      <c r="C12" s="8">
        <v>25</v>
      </c>
      <c r="D12" s="9">
        <v>176</v>
      </c>
      <c r="E12" s="7">
        <v>37.799999999999997</v>
      </c>
      <c r="F12" s="7">
        <v>88.5</v>
      </c>
      <c r="G12" s="7">
        <v>97.1</v>
      </c>
      <c r="H12" s="7">
        <v>60</v>
      </c>
      <c r="I12" s="101">
        <f t="shared" si="0"/>
        <v>0</v>
      </c>
    </row>
    <row r="13" spans="1:16" x14ac:dyDescent="0.15">
      <c r="A13" s="6">
        <v>9</v>
      </c>
      <c r="B13" s="7">
        <v>5.0999999999999996</v>
      </c>
      <c r="C13" s="8">
        <v>25</v>
      </c>
      <c r="D13" s="9">
        <v>191</v>
      </c>
      <c r="E13" s="7">
        <v>38.1</v>
      </c>
      <c r="F13" s="7">
        <v>82.5</v>
      </c>
      <c r="G13" s="7">
        <v>99.9</v>
      </c>
      <c r="H13" s="7">
        <v>62.9</v>
      </c>
      <c r="I13" s="101">
        <f t="shared" si="0"/>
        <v>0</v>
      </c>
      <c r="K13" t="s">
        <v>20</v>
      </c>
    </row>
    <row r="14" spans="1:16" x14ac:dyDescent="0.15">
      <c r="A14" s="6">
        <v>10</v>
      </c>
      <c r="B14" s="7">
        <v>12</v>
      </c>
      <c r="C14" s="8">
        <v>23</v>
      </c>
      <c r="D14" s="9">
        <v>198.25</v>
      </c>
      <c r="E14" s="7">
        <v>42.1</v>
      </c>
      <c r="F14" s="7">
        <v>88.6</v>
      </c>
      <c r="G14" s="7">
        <v>104.1</v>
      </c>
      <c r="H14" s="7">
        <v>63.1</v>
      </c>
      <c r="I14" s="101">
        <f t="shared" si="0"/>
        <v>0</v>
      </c>
      <c r="K14" s="178"/>
      <c r="L14" s="178" t="s">
        <v>21</v>
      </c>
      <c r="M14" s="178" t="s">
        <v>22</v>
      </c>
      <c r="N14" s="178" t="s">
        <v>23</v>
      </c>
      <c r="O14" s="178" t="s">
        <v>24</v>
      </c>
      <c r="P14" s="178" t="s">
        <v>25</v>
      </c>
    </row>
    <row r="15" spans="1:16" x14ac:dyDescent="0.15">
      <c r="A15" s="6">
        <v>11</v>
      </c>
      <c r="B15" s="7">
        <v>7.5</v>
      </c>
      <c r="C15" s="8">
        <v>26</v>
      </c>
      <c r="D15" s="9">
        <v>186.25</v>
      </c>
      <c r="E15" s="7">
        <v>38.5</v>
      </c>
      <c r="F15" s="7">
        <v>83.6</v>
      </c>
      <c r="G15" s="7">
        <v>98.2</v>
      </c>
      <c r="H15" s="7">
        <v>59.7</v>
      </c>
      <c r="I15" s="101">
        <f t="shared" si="0"/>
        <v>0</v>
      </c>
      <c r="K15" t="s">
        <v>26</v>
      </c>
      <c r="L15">
        <v>6</v>
      </c>
      <c r="M15">
        <v>3418.5351507983701</v>
      </c>
      <c r="N15">
        <v>569.75585846639603</v>
      </c>
      <c r="O15">
        <v>39.3567782070768</v>
      </c>
      <c r="P15" s="91">
        <v>6.6613381477509304E-16</v>
      </c>
    </row>
    <row r="16" spans="1:16" x14ac:dyDescent="0.15">
      <c r="A16" s="6">
        <v>12</v>
      </c>
      <c r="B16" s="7">
        <v>8.5</v>
      </c>
      <c r="C16" s="8">
        <v>27</v>
      </c>
      <c r="D16" s="9">
        <v>216</v>
      </c>
      <c r="E16" s="7">
        <v>39.4</v>
      </c>
      <c r="F16" s="7">
        <v>90.9</v>
      </c>
      <c r="G16" s="7">
        <v>107.7</v>
      </c>
      <c r="H16" s="7">
        <v>66.2</v>
      </c>
      <c r="I16" s="101">
        <f>IF(C16&gt;30,1,0)</f>
        <v>0</v>
      </c>
      <c r="K16" t="s">
        <v>27</v>
      </c>
      <c r="L16">
        <v>43</v>
      </c>
      <c r="M16">
        <v>622.49764920162295</v>
      </c>
      <c r="N16">
        <v>14.476689516316799</v>
      </c>
    </row>
    <row r="17" spans="1:19" x14ac:dyDescent="0.15">
      <c r="A17" s="6">
        <v>13</v>
      </c>
      <c r="B17" s="7">
        <v>20.5</v>
      </c>
      <c r="C17" s="8">
        <v>32</v>
      </c>
      <c r="D17" s="9">
        <v>180.5</v>
      </c>
      <c r="E17" s="7">
        <v>38.4</v>
      </c>
      <c r="F17" s="7">
        <v>91.6</v>
      </c>
      <c r="G17" s="7">
        <v>103.9</v>
      </c>
      <c r="H17" s="7">
        <v>63.4</v>
      </c>
      <c r="I17" s="101">
        <f t="shared" si="0"/>
        <v>1</v>
      </c>
      <c r="K17" s="118" t="s">
        <v>28</v>
      </c>
      <c r="L17" s="118">
        <v>49</v>
      </c>
      <c r="M17" s="118">
        <v>4041.0328</v>
      </c>
      <c r="N17" s="118"/>
      <c r="O17" s="118"/>
      <c r="P17" s="118"/>
    </row>
    <row r="18" spans="1:19" x14ac:dyDescent="0.15">
      <c r="A18" s="6">
        <v>14</v>
      </c>
      <c r="B18" s="7">
        <v>20.8</v>
      </c>
      <c r="C18" s="8">
        <v>30</v>
      </c>
      <c r="D18" s="9">
        <v>205.25</v>
      </c>
      <c r="E18" s="7">
        <v>39.4</v>
      </c>
      <c r="F18" s="7">
        <v>101.8</v>
      </c>
      <c r="G18" s="7">
        <v>108.6</v>
      </c>
      <c r="H18" s="7">
        <v>66</v>
      </c>
      <c r="I18" s="101">
        <f t="shared" si="0"/>
        <v>0</v>
      </c>
    </row>
    <row r="19" spans="1:19" x14ac:dyDescent="0.15">
      <c r="A19" s="6">
        <v>15</v>
      </c>
      <c r="B19" s="7">
        <v>21.7</v>
      </c>
      <c r="C19" s="8">
        <v>35</v>
      </c>
      <c r="D19" s="9">
        <v>187.75</v>
      </c>
      <c r="E19" s="7">
        <v>40.5</v>
      </c>
      <c r="F19" s="7">
        <v>96.4</v>
      </c>
      <c r="G19" s="7">
        <v>100.1</v>
      </c>
      <c r="H19" s="7">
        <v>69</v>
      </c>
      <c r="I19" s="101">
        <f t="shared" si="0"/>
        <v>1</v>
      </c>
      <c r="K19" s="117"/>
      <c r="L19" s="178" t="s">
        <v>29</v>
      </c>
      <c r="M19" s="178" t="s">
        <v>18</v>
      </c>
      <c r="N19" s="178" t="s">
        <v>30</v>
      </c>
      <c r="O19" s="178" t="s">
        <v>31</v>
      </c>
      <c r="P19" s="178" t="s">
        <v>32</v>
      </c>
      <c r="Q19" s="178" t="s">
        <v>33</v>
      </c>
      <c r="R19" s="178" t="s">
        <v>32</v>
      </c>
      <c r="S19" s="178" t="s">
        <v>33</v>
      </c>
    </row>
    <row r="20" spans="1:19" x14ac:dyDescent="0.15">
      <c r="A20" s="6">
        <v>16</v>
      </c>
      <c r="B20" s="7">
        <v>20.5</v>
      </c>
      <c r="C20" s="8">
        <v>35</v>
      </c>
      <c r="D20" s="9">
        <v>162.75</v>
      </c>
      <c r="E20" s="7">
        <v>36.4</v>
      </c>
      <c r="F20" s="7">
        <v>92.8</v>
      </c>
      <c r="G20" s="7">
        <v>99.2</v>
      </c>
      <c r="H20" s="7">
        <v>63.1</v>
      </c>
      <c r="I20" s="101">
        <f t="shared" si="0"/>
        <v>1</v>
      </c>
      <c r="K20" t="s">
        <v>36</v>
      </c>
      <c r="L20">
        <v>-40.2813715142427</v>
      </c>
      <c r="M20">
        <v>17.3643422143344</v>
      </c>
      <c r="N20">
        <v>-2.3197752622607299</v>
      </c>
      <c r="O20">
        <v>2.51679999064876E-2</v>
      </c>
      <c r="P20">
        <v>-75.299904555296607</v>
      </c>
      <c r="Q20">
        <v>-5.2628384731888902</v>
      </c>
      <c r="R20">
        <v>-75.299904555296607</v>
      </c>
      <c r="S20">
        <v>-5.2628384731888902</v>
      </c>
    </row>
    <row r="21" spans="1:19" x14ac:dyDescent="0.15">
      <c r="A21" s="6">
        <v>17</v>
      </c>
      <c r="B21" s="7">
        <v>28.1</v>
      </c>
      <c r="C21" s="8">
        <v>34</v>
      </c>
      <c r="D21" s="9">
        <v>195.75</v>
      </c>
      <c r="E21" s="7">
        <v>38.9</v>
      </c>
      <c r="F21" s="7">
        <v>96.4</v>
      </c>
      <c r="G21" s="7">
        <v>105.2</v>
      </c>
      <c r="H21" s="7">
        <v>64.8</v>
      </c>
      <c r="I21" s="101">
        <f t="shared" si="0"/>
        <v>1</v>
      </c>
      <c r="K21" t="s">
        <v>4</v>
      </c>
      <c r="L21">
        <v>-0.20215707254672699</v>
      </c>
      <c r="M21">
        <v>6.6066956607558805E-2</v>
      </c>
      <c r="N21">
        <v>-3.0598817158712301</v>
      </c>
      <c r="O21">
        <v>3.8050142442750201E-3</v>
      </c>
      <c r="P21">
        <v>-0.33539378686198701</v>
      </c>
      <c r="Q21">
        <v>-6.8920358231468498E-2</v>
      </c>
      <c r="R21">
        <v>-0.33539378686198701</v>
      </c>
      <c r="S21">
        <v>-6.8920358231468498E-2</v>
      </c>
    </row>
    <row r="22" spans="1:19" x14ac:dyDescent="0.15">
      <c r="A22" s="6">
        <v>18</v>
      </c>
      <c r="B22" s="7">
        <v>22.4</v>
      </c>
      <c r="C22" s="8">
        <v>32</v>
      </c>
      <c r="D22" s="9">
        <v>209.25</v>
      </c>
      <c r="E22" s="7">
        <v>42.1</v>
      </c>
      <c r="F22" s="7">
        <v>97.5</v>
      </c>
      <c r="G22" s="7">
        <v>107</v>
      </c>
      <c r="H22" s="7">
        <v>66.900000000000006</v>
      </c>
      <c r="I22" s="101">
        <f t="shared" si="0"/>
        <v>1</v>
      </c>
      <c r="K22" s="141" t="s">
        <v>6</v>
      </c>
      <c r="L22">
        <v>-0.380670554581994</v>
      </c>
      <c r="M22">
        <v>0.37393902041587601</v>
      </c>
      <c r="N22">
        <v>-1.01800168957663</v>
      </c>
      <c r="O22" s="141">
        <v>0.31437093683254502</v>
      </c>
      <c r="P22">
        <v>-1.1347904504086701</v>
      </c>
      <c r="Q22">
        <v>0.37344934124468498</v>
      </c>
      <c r="R22">
        <v>-1.1347904504086701</v>
      </c>
      <c r="S22">
        <v>0.37344934124468498</v>
      </c>
    </row>
    <row r="23" spans="1:19" x14ac:dyDescent="0.15">
      <c r="A23" s="6">
        <v>19</v>
      </c>
      <c r="B23" s="7">
        <v>16.100000000000001</v>
      </c>
      <c r="C23" s="8">
        <v>28</v>
      </c>
      <c r="D23" s="9">
        <v>183.75</v>
      </c>
      <c r="E23" s="7">
        <v>38</v>
      </c>
      <c r="F23" s="7">
        <v>89.6</v>
      </c>
      <c r="G23" s="7">
        <v>102.4</v>
      </c>
      <c r="H23" s="7">
        <v>64.2</v>
      </c>
      <c r="I23" s="101">
        <f t="shared" si="0"/>
        <v>0</v>
      </c>
      <c r="K23" t="s">
        <v>8</v>
      </c>
      <c r="L23">
        <v>0.90652591386295001</v>
      </c>
      <c r="M23">
        <v>0.12491800296382401</v>
      </c>
      <c r="N23">
        <v>7.2569677096541101</v>
      </c>
      <c r="O23" s="91">
        <v>5.4733435602666398E-9</v>
      </c>
      <c r="P23">
        <v>0.65460475496065595</v>
      </c>
      <c r="Q23">
        <v>1.1584470727652401</v>
      </c>
      <c r="R23">
        <v>0.65460475496065595</v>
      </c>
      <c r="S23">
        <v>1.1584470727652401</v>
      </c>
    </row>
    <row r="24" spans="1:19" x14ac:dyDescent="0.15">
      <c r="A24" s="6">
        <v>20</v>
      </c>
      <c r="B24" s="7">
        <v>16.5</v>
      </c>
      <c r="C24" s="8">
        <v>33</v>
      </c>
      <c r="D24" s="9">
        <v>211.75</v>
      </c>
      <c r="E24" s="7">
        <v>40</v>
      </c>
      <c r="F24" s="7">
        <v>100.5</v>
      </c>
      <c r="G24" s="7">
        <v>109</v>
      </c>
      <c r="H24" s="7">
        <v>65.8</v>
      </c>
      <c r="I24" s="101">
        <f t="shared" si="0"/>
        <v>1</v>
      </c>
      <c r="K24" t="s">
        <v>9</v>
      </c>
      <c r="L24">
        <v>-0.214593397839897</v>
      </c>
      <c r="M24">
        <v>0.25139463372489101</v>
      </c>
      <c r="N24">
        <v>-0.85361168876314497</v>
      </c>
      <c r="O24" s="91">
        <v>0.398050528044045</v>
      </c>
      <c r="P24">
        <v>-0.72157898812453203</v>
      </c>
      <c r="Q24">
        <v>0.29239219244473802</v>
      </c>
      <c r="R24">
        <v>-0.72157898812453203</v>
      </c>
      <c r="S24">
        <v>0.29239219244473802</v>
      </c>
    </row>
    <row r="25" spans="1:19" x14ac:dyDescent="0.15">
      <c r="A25" s="6">
        <v>21</v>
      </c>
      <c r="B25" s="7">
        <v>19</v>
      </c>
      <c r="C25" s="8">
        <v>28</v>
      </c>
      <c r="D25" s="9">
        <v>179</v>
      </c>
      <c r="E25" s="7">
        <v>39.1</v>
      </c>
      <c r="F25" s="7">
        <v>95.9</v>
      </c>
      <c r="G25" s="7">
        <v>104.9</v>
      </c>
      <c r="H25" s="7">
        <v>63.5</v>
      </c>
      <c r="I25" s="101">
        <f t="shared" si="0"/>
        <v>0</v>
      </c>
      <c r="K25" t="s">
        <v>10</v>
      </c>
      <c r="L25">
        <v>0.76026521519472101</v>
      </c>
      <c r="M25">
        <v>0.25403734641196202</v>
      </c>
      <c r="N25">
        <v>2.9927301081228799</v>
      </c>
      <c r="O25">
        <v>4.5672822010319001E-3</v>
      </c>
      <c r="P25">
        <v>0.24795008691734799</v>
      </c>
      <c r="Q25">
        <v>1.2725803434720899</v>
      </c>
      <c r="R25">
        <v>0.24795008691734799</v>
      </c>
      <c r="S25">
        <v>1.2725803434720899</v>
      </c>
    </row>
    <row r="26" spans="1:19" x14ac:dyDescent="0.15">
      <c r="A26" s="6">
        <v>22</v>
      </c>
      <c r="B26" s="7">
        <v>15.3</v>
      </c>
      <c r="C26" s="8">
        <v>28</v>
      </c>
      <c r="D26" s="9">
        <v>200.5</v>
      </c>
      <c r="E26" s="7">
        <v>41.3</v>
      </c>
      <c r="F26" s="7">
        <v>98.8</v>
      </c>
      <c r="G26" s="7">
        <v>104.8</v>
      </c>
      <c r="H26" s="7">
        <v>63.4</v>
      </c>
      <c r="I26" s="101">
        <f t="shared" si="0"/>
        <v>0</v>
      </c>
      <c r="K26" s="118" t="s">
        <v>3</v>
      </c>
      <c r="L26" s="118">
        <v>2.2411404256452698</v>
      </c>
      <c r="M26" s="118">
        <v>1.2223912536111801</v>
      </c>
      <c r="N26" s="118">
        <v>1.8334067910126901</v>
      </c>
      <c r="O26" s="118">
        <v>7.3670195362844207E-2</v>
      </c>
      <c r="P26" s="118">
        <v>-0.22404644842712701</v>
      </c>
      <c r="Q26" s="118">
        <v>4.7063272997176799</v>
      </c>
      <c r="R26" s="118">
        <v>-0.22404644842712701</v>
      </c>
      <c r="S26" s="118">
        <v>4.7063272997176799</v>
      </c>
    </row>
    <row r="27" spans="1:19" x14ac:dyDescent="0.15">
      <c r="A27" s="6">
        <v>23</v>
      </c>
      <c r="B27" s="7">
        <v>15.7</v>
      </c>
      <c r="C27" s="8">
        <v>31</v>
      </c>
      <c r="D27" s="9">
        <v>140.25</v>
      </c>
      <c r="E27" s="7">
        <v>33.9</v>
      </c>
      <c r="F27" s="7">
        <v>76.400000000000006</v>
      </c>
      <c r="G27" s="7">
        <v>94.6</v>
      </c>
      <c r="H27" s="7">
        <v>57.4</v>
      </c>
      <c r="I27" s="101">
        <f t="shared" si="0"/>
        <v>1</v>
      </c>
    </row>
    <row r="28" spans="1:19" x14ac:dyDescent="0.15">
      <c r="A28" s="6">
        <v>24</v>
      </c>
      <c r="B28" s="7">
        <v>17.600000000000001</v>
      </c>
      <c r="C28" s="8">
        <v>32</v>
      </c>
      <c r="D28" s="9">
        <v>148.75</v>
      </c>
      <c r="E28" s="7">
        <v>35.5</v>
      </c>
      <c r="F28" s="7">
        <v>80</v>
      </c>
      <c r="G28" s="7">
        <v>93.4</v>
      </c>
      <c r="H28" s="7">
        <v>54.9</v>
      </c>
      <c r="I28" s="101">
        <f t="shared" si="0"/>
        <v>1</v>
      </c>
    </row>
    <row r="29" spans="1:19" x14ac:dyDescent="0.15">
      <c r="A29" s="6">
        <v>25</v>
      </c>
      <c r="B29" s="7">
        <v>14.2</v>
      </c>
      <c r="C29" s="8">
        <v>28</v>
      </c>
      <c r="D29" s="9">
        <v>151.25</v>
      </c>
      <c r="E29" s="7">
        <v>34.5</v>
      </c>
      <c r="F29" s="7">
        <v>76.3</v>
      </c>
      <c r="G29" s="7">
        <v>95.8</v>
      </c>
      <c r="H29" s="7">
        <v>58.4</v>
      </c>
      <c r="I29" s="101">
        <f t="shared" si="0"/>
        <v>0</v>
      </c>
      <c r="K29" s="127" t="s">
        <v>62</v>
      </c>
    </row>
    <row r="30" spans="1:19" x14ac:dyDescent="0.15">
      <c r="A30" s="6">
        <v>26</v>
      </c>
      <c r="B30" s="7">
        <v>4.5999999999999996</v>
      </c>
      <c r="C30" s="8">
        <v>27</v>
      </c>
      <c r="D30" s="9">
        <v>159.25</v>
      </c>
      <c r="E30" s="7">
        <v>35.700000000000003</v>
      </c>
      <c r="F30" s="7">
        <v>79.7</v>
      </c>
      <c r="G30" s="7">
        <v>96.5</v>
      </c>
      <c r="H30" s="7">
        <v>55</v>
      </c>
      <c r="I30" s="101">
        <f t="shared" si="0"/>
        <v>0</v>
      </c>
    </row>
    <row r="31" spans="1:19" x14ac:dyDescent="0.15">
      <c r="A31" s="6">
        <v>27</v>
      </c>
      <c r="B31" s="7">
        <v>8.5</v>
      </c>
      <c r="C31" s="8">
        <v>34</v>
      </c>
      <c r="D31" s="9">
        <v>131.5</v>
      </c>
      <c r="E31" s="7">
        <v>36.200000000000003</v>
      </c>
      <c r="F31" s="7">
        <v>74.599999999999994</v>
      </c>
      <c r="G31" s="7">
        <v>85.3</v>
      </c>
      <c r="H31" s="7">
        <v>51.7</v>
      </c>
      <c r="I31" s="101">
        <f t="shared" si="0"/>
        <v>1</v>
      </c>
    </row>
    <row r="32" spans="1:19" x14ac:dyDescent="0.15">
      <c r="A32" s="6">
        <v>28</v>
      </c>
      <c r="B32" s="7">
        <v>22.4</v>
      </c>
      <c r="C32" s="8">
        <v>31</v>
      </c>
      <c r="D32" s="9">
        <v>148</v>
      </c>
      <c r="E32" s="7">
        <v>38.799999999999997</v>
      </c>
      <c r="F32" s="7">
        <v>88.7</v>
      </c>
      <c r="G32" s="7">
        <v>94.7</v>
      </c>
      <c r="H32" s="7">
        <v>57.5</v>
      </c>
      <c r="I32" s="101">
        <f t="shared" si="0"/>
        <v>1</v>
      </c>
    </row>
    <row r="33" spans="1:9" x14ac:dyDescent="0.15">
      <c r="A33" s="6">
        <v>29</v>
      </c>
      <c r="B33" s="7">
        <v>4.7</v>
      </c>
      <c r="C33" s="8">
        <v>27</v>
      </c>
      <c r="D33" s="9">
        <v>133.25</v>
      </c>
      <c r="E33" s="7">
        <v>36.4</v>
      </c>
      <c r="F33" s="7">
        <v>73.900000000000006</v>
      </c>
      <c r="G33" s="7">
        <v>88.5</v>
      </c>
      <c r="H33" s="7">
        <v>50.1</v>
      </c>
      <c r="I33" s="101">
        <f t="shared" si="0"/>
        <v>0</v>
      </c>
    </row>
    <row r="34" spans="1:9" x14ac:dyDescent="0.15">
      <c r="A34" s="6">
        <v>30</v>
      </c>
      <c r="B34" s="7">
        <v>9.4</v>
      </c>
      <c r="C34" s="8">
        <v>29</v>
      </c>
      <c r="D34" s="9">
        <v>160.75</v>
      </c>
      <c r="E34" s="7">
        <v>36.700000000000003</v>
      </c>
      <c r="F34" s="7">
        <v>83.5</v>
      </c>
      <c r="G34" s="7">
        <v>98.7</v>
      </c>
      <c r="H34" s="7">
        <v>58.9</v>
      </c>
      <c r="I34" s="101">
        <f t="shared" si="0"/>
        <v>0</v>
      </c>
    </row>
    <row r="35" spans="1:9" x14ac:dyDescent="0.15">
      <c r="A35" s="6">
        <v>31</v>
      </c>
      <c r="B35" s="7">
        <v>12.3</v>
      </c>
      <c r="C35" s="8">
        <v>32</v>
      </c>
      <c r="D35" s="9">
        <v>182</v>
      </c>
      <c r="E35" s="7">
        <v>38.700000000000003</v>
      </c>
      <c r="F35" s="7">
        <v>88.7</v>
      </c>
      <c r="G35" s="7">
        <v>99.8</v>
      </c>
      <c r="H35" s="7">
        <v>57.5</v>
      </c>
      <c r="I35" s="101">
        <f t="shared" si="0"/>
        <v>1</v>
      </c>
    </row>
    <row r="36" spans="1:9" x14ac:dyDescent="0.15">
      <c r="A36" s="6">
        <v>32</v>
      </c>
      <c r="B36" s="7">
        <v>6.5</v>
      </c>
      <c r="C36" s="8">
        <v>29</v>
      </c>
      <c r="D36" s="9">
        <v>160.25</v>
      </c>
      <c r="E36" s="7">
        <v>37.299999999999997</v>
      </c>
      <c r="F36" s="7">
        <v>84.5</v>
      </c>
      <c r="G36" s="7">
        <v>100.6</v>
      </c>
      <c r="H36" s="7">
        <v>58.5</v>
      </c>
      <c r="I36" s="101">
        <f t="shared" si="0"/>
        <v>0</v>
      </c>
    </row>
    <row r="37" spans="1:9" x14ac:dyDescent="0.15">
      <c r="A37" s="6">
        <v>33</v>
      </c>
      <c r="B37" s="7">
        <v>13.4</v>
      </c>
      <c r="C37" s="8">
        <v>27</v>
      </c>
      <c r="D37" s="9">
        <v>168</v>
      </c>
      <c r="E37" s="7">
        <v>38.1</v>
      </c>
      <c r="F37" s="7">
        <v>79.099999999999994</v>
      </c>
      <c r="G37" s="7">
        <v>94.5</v>
      </c>
      <c r="H37" s="7">
        <v>57.3</v>
      </c>
      <c r="I37" s="101">
        <f t="shared" si="0"/>
        <v>0</v>
      </c>
    </row>
    <row r="38" spans="1:9" x14ac:dyDescent="0.15">
      <c r="A38" s="6">
        <v>34</v>
      </c>
      <c r="B38" s="7">
        <v>20.9</v>
      </c>
      <c r="C38" s="8">
        <v>41</v>
      </c>
      <c r="D38" s="9">
        <v>218.5</v>
      </c>
      <c r="E38" s="7">
        <v>39.799999999999997</v>
      </c>
      <c r="F38" s="7">
        <v>100.5</v>
      </c>
      <c r="G38" s="7">
        <v>108.3</v>
      </c>
      <c r="H38" s="7">
        <v>67.099999999999994</v>
      </c>
      <c r="I38" s="101">
        <f t="shared" si="0"/>
        <v>1</v>
      </c>
    </row>
    <row r="39" spans="1:9" x14ac:dyDescent="0.15">
      <c r="A39" s="6">
        <v>35</v>
      </c>
      <c r="B39" s="7">
        <v>31.1</v>
      </c>
      <c r="C39" s="8">
        <v>41</v>
      </c>
      <c r="D39" s="9">
        <v>247.25</v>
      </c>
      <c r="E39" s="7">
        <v>42.1</v>
      </c>
      <c r="F39" s="7">
        <v>115.6</v>
      </c>
      <c r="G39" s="7">
        <v>116.1</v>
      </c>
      <c r="H39" s="7">
        <v>71.2</v>
      </c>
      <c r="I39" s="101">
        <f t="shared" si="0"/>
        <v>1</v>
      </c>
    </row>
    <row r="40" spans="1:9" x14ac:dyDescent="0.15">
      <c r="A40" s="6">
        <v>36</v>
      </c>
      <c r="B40" s="7">
        <v>38.200000000000003</v>
      </c>
      <c r="C40" s="8">
        <v>49</v>
      </c>
      <c r="D40" s="9">
        <v>191.75</v>
      </c>
      <c r="E40" s="7">
        <v>38.4</v>
      </c>
      <c r="F40" s="7">
        <v>113.1</v>
      </c>
      <c r="G40" s="7">
        <v>113.8</v>
      </c>
      <c r="H40" s="7">
        <v>61.9</v>
      </c>
      <c r="I40" s="101">
        <f t="shared" si="0"/>
        <v>1</v>
      </c>
    </row>
    <row r="41" spans="1:9" x14ac:dyDescent="0.15">
      <c r="A41" s="6">
        <v>37</v>
      </c>
      <c r="B41" s="7">
        <v>23.6</v>
      </c>
      <c r="C41" s="8">
        <v>40</v>
      </c>
      <c r="D41" s="9">
        <v>202.25</v>
      </c>
      <c r="E41" s="7">
        <v>38.5</v>
      </c>
      <c r="F41" s="7">
        <v>100.9</v>
      </c>
      <c r="G41" s="7">
        <v>106.2</v>
      </c>
      <c r="H41" s="7">
        <v>63.5</v>
      </c>
      <c r="I41" s="101">
        <f t="shared" si="0"/>
        <v>1</v>
      </c>
    </row>
    <row r="42" spans="1:9" x14ac:dyDescent="0.15">
      <c r="A42" s="6">
        <v>38</v>
      </c>
      <c r="B42" s="7">
        <v>27.5</v>
      </c>
      <c r="C42" s="8">
        <v>50</v>
      </c>
      <c r="D42" s="9">
        <v>196.75</v>
      </c>
      <c r="E42" s="7">
        <v>42.1</v>
      </c>
      <c r="F42" s="7">
        <v>98.8</v>
      </c>
      <c r="G42" s="7">
        <v>104.8</v>
      </c>
      <c r="H42" s="7">
        <v>66</v>
      </c>
      <c r="I42" s="101">
        <f t="shared" si="0"/>
        <v>1</v>
      </c>
    </row>
    <row r="43" spans="1:9" x14ac:dyDescent="0.15">
      <c r="A43" s="6">
        <v>39</v>
      </c>
      <c r="B43" s="7">
        <v>33.799999999999997</v>
      </c>
      <c r="C43" s="8">
        <v>46</v>
      </c>
      <c r="D43" s="9">
        <v>363.15</v>
      </c>
      <c r="E43" s="7">
        <v>51.2</v>
      </c>
      <c r="F43" s="7">
        <v>148.1</v>
      </c>
      <c r="G43" s="7">
        <v>147.69999999999999</v>
      </c>
      <c r="H43" s="7">
        <v>87.3</v>
      </c>
      <c r="I43" s="101">
        <f t="shared" si="0"/>
        <v>1</v>
      </c>
    </row>
    <row r="44" spans="1:9" x14ac:dyDescent="0.15">
      <c r="A44" s="6">
        <v>40</v>
      </c>
      <c r="B44" s="7">
        <v>31.3</v>
      </c>
      <c r="C44" s="8">
        <v>50</v>
      </c>
      <c r="D44" s="9">
        <v>203</v>
      </c>
      <c r="E44" s="7">
        <v>40.200000000000003</v>
      </c>
      <c r="F44" s="7">
        <v>108.1</v>
      </c>
      <c r="G44" s="7">
        <v>102.5</v>
      </c>
      <c r="H44" s="7">
        <v>61.3</v>
      </c>
      <c r="I44" s="101">
        <f t="shared" si="0"/>
        <v>1</v>
      </c>
    </row>
    <row r="45" spans="1:9" x14ac:dyDescent="0.15">
      <c r="A45" s="6">
        <v>41</v>
      </c>
      <c r="B45" s="7">
        <v>33.1</v>
      </c>
      <c r="C45" s="8">
        <v>45</v>
      </c>
      <c r="D45" s="9">
        <v>262.75</v>
      </c>
      <c r="E45" s="7">
        <v>43.2</v>
      </c>
      <c r="F45" s="7">
        <v>126.2</v>
      </c>
      <c r="G45" s="7">
        <v>125.6</v>
      </c>
      <c r="H45" s="7">
        <v>72.5</v>
      </c>
      <c r="I45" s="101">
        <f t="shared" si="0"/>
        <v>1</v>
      </c>
    </row>
    <row r="46" spans="1:9" x14ac:dyDescent="0.15">
      <c r="A46" s="6">
        <v>42</v>
      </c>
      <c r="B46" s="7">
        <v>31.7</v>
      </c>
      <c r="C46" s="8">
        <v>44</v>
      </c>
      <c r="D46" s="9">
        <v>205</v>
      </c>
      <c r="E46" s="7">
        <v>36.6</v>
      </c>
      <c r="F46" s="7">
        <v>104.3</v>
      </c>
      <c r="G46" s="7">
        <v>115.5</v>
      </c>
      <c r="H46" s="7">
        <v>70.599999999999994</v>
      </c>
      <c r="I46" s="101">
        <f t="shared" si="0"/>
        <v>1</v>
      </c>
    </row>
    <row r="47" spans="1:9" x14ac:dyDescent="0.15">
      <c r="A47" s="6">
        <v>43</v>
      </c>
      <c r="B47" s="7">
        <v>30.4</v>
      </c>
      <c r="C47" s="8">
        <v>48</v>
      </c>
      <c r="D47" s="9">
        <v>217</v>
      </c>
      <c r="E47" s="7">
        <v>37.299999999999997</v>
      </c>
      <c r="F47" s="7">
        <v>111.2</v>
      </c>
      <c r="G47" s="7">
        <v>114.1</v>
      </c>
      <c r="H47" s="7">
        <v>67.7</v>
      </c>
      <c r="I47" s="101">
        <f t="shared" si="0"/>
        <v>1</v>
      </c>
    </row>
    <row r="48" spans="1:9" x14ac:dyDescent="0.15">
      <c r="A48" s="6">
        <v>44</v>
      </c>
      <c r="B48" s="7">
        <v>30.8</v>
      </c>
      <c r="C48" s="8">
        <v>41</v>
      </c>
      <c r="D48" s="9">
        <v>212</v>
      </c>
      <c r="E48" s="7">
        <v>41.5</v>
      </c>
      <c r="F48" s="7">
        <v>104.3</v>
      </c>
      <c r="G48" s="7">
        <v>106</v>
      </c>
      <c r="H48" s="7">
        <v>65</v>
      </c>
      <c r="I48" s="101">
        <f t="shared" si="0"/>
        <v>1</v>
      </c>
    </row>
    <row r="49" spans="1:9" x14ac:dyDescent="0.15">
      <c r="A49" s="6">
        <v>45</v>
      </c>
      <c r="B49" s="7">
        <v>8.4</v>
      </c>
      <c r="C49" s="8">
        <v>39</v>
      </c>
      <c r="D49" s="9">
        <v>125.25</v>
      </c>
      <c r="E49" s="7">
        <v>31.5</v>
      </c>
      <c r="F49" s="7">
        <v>76</v>
      </c>
      <c r="G49" s="7">
        <v>88.2</v>
      </c>
      <c r="H49" s="7">
        <v>50</v>
      </c>
      <c r="I49" s="101">
        <f t="shared" si="0"/>
        <v>1</v>
      </c>
    </row>
    <row r="50" spans="1:9" x14ac:dyDescent="0.15">
      <c r="A50" s="6">
        <v>46</v>
      </c>
      <c r="B50" s="7">
        <v>14.1</v>
      </c>
      <c r="C50" s="8">
        <v>43</v>
      </c>
      <c r="D50" s="9">
        <v>164.25</v>
      </c>
      <c r="E50" s="7">
        <v>35.700000000000003</v>
      </c>
      <c r="F50" s="7">
        <v>81.5</v>
      </c>
      <c r="G50" s="7">
        <v>97.2</v>
      </c>
      <c r="H50" s="7">
        <v>58.4</v>
      </c>
      <c r="I50" s="101">
        <f t="shared" si="0"/>
        <v>1</v>
      </c>
    </row>
    <row r="51" spans="1:9" x14ac:dyDescent="0.15">
      <c r="A51" s="6">
        <v>47</v>
      </c>
      <c r="B51" s="7">
        <v>11.2</v>
      </c>
      <c r="C51" s="8">
        <v>40</v>
      </c>
      <c r="D51" s="9">
        <v>133.5</v>
      </c>
      <c r="E51" s="7">
        <v>33.6</v>
      </c>
      <c r="F51" s="7">
        <v>73.7</v>
      </c>
      <c r="G51" s="7">
        <v>88.5</v>
      </c>
      <c r="H51" s="7">
        <v>53.3</v>
      </c>
      <c r="I51" s="101">
        <f t="shared" si="0"/>
        <v>1</v>
      </c>
    </row>
    <row r="52" spans="1:9" x14ac:dyDescent="0.15">
      <c r="A52" s="6">
        <v>48</v>
      </c>
      <c r="B52" s="7">
        <v>6.4</v>
      </c>
      <c r="C52" s="8">
        <v>39</v>
      </c>
      <c r="D52" s="9">
        <v>148.5</v>
      </c>
      <c r="E52" s="7">
        <v>34.6</v>
      </c>
      <c r="F52" s="7">
        <v>79.5</v>
      </c>
      <c r="G52" s="7">
        <v>92.7</v>
      </c>
      <c r="H52" s="7">
        <v>52.7</v>
      </c>
      <c r="I52" s="101">
        <f t="shared" si="0"/>
        <v>1</v>
      </c>
    </row>
    <row r="53" spans="1:9" x14ac:dyDescent="0.15">
      <c r="A53" s="6">
        <v>49</v>
      </c>
      <c r="B53" s="7">
        <v>13.4</v>
      </c>
      <c r="C53" s="8">
        <v>45</v>
      </c>
      <c r="D53" s="9">
        <v>135.75</v>
      </c>
      <c r="E53" s="7">
        <v>32.799999999999997</v>
      </c>
      <c r="F53" s="7">
        <v>83.4</v>
      </c>
      <c r="G53" s="7">
        <v>90.4</v>
      </c>
      <c r="H53" s="7">
        <v>52</v>
      </c>
      <c r="I53" s="101">
        <f t="shared" si="0"/>
        <v>1</v>
      </c>
    </row>
    <row r="54" spans="1:9" x14ac:dyDescent="0.15">
      <c r="A54" s="11">
        <v>50</v>
      </c>
      <c r="B54" s="12">
        <v>5</v>
      </c>
      <c r="C54" s="134">
        <v>47</v>
      </c>
      <c r="D54" s="133">
        <v>127.5</v>
      </c>
      <c r="E54" s="12">
        <v>34</v>
      </c>
      <c r="F54" s="12">
        <v>70.400000000000006</v>
      </c>
      <c r="G54" s="12">
        <v>87.2</v>
      </c>
      <c r="H54" s="12">
        <v>50.6</v>
      </c>
      <c r="I54" s="101">
        <f t="shared" si="0"/>
        <v>1</v>
      </c>
    </row>
  </sheetData>
  <mergeCells count="1">
    <mergeCell ref="K6:L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A7C3E-0064-4F75-9466-4427BA29865D}">
  <dimension ref="A2:R54"/>
  <sheetViews>
    <sheetView topLeftCell="I11" workbookViewId="0">
      <selection activeCell="R9" sqref="R9"/>
    </sheetView>
  </sheetViews>
  <sheetFormatPr baseColWidth="10" defaultColWidth="8.83203125" defaultRowHeight="13" x14ac:dyDescent="0.15"/>
  <cols>
    <col min="10" max="10" width="19.1640625" bestFit="1" customWidth="1"/>
    <col min="11" max="11" width="17.5" customWidth="1"/>
    <col min="12" max="12" width="14.83203125" customWidth="1"/>
    <col min="13" max="13" width="14.5" customWidth="1"/>
    <col min="14" max="14" width="13.6640625" customWidth="1"/>
    <col min="15" max="16" width="14.6640625" customWidth="1"/>
    <col min="17" max="17" width="15.33203125" customWidth="1"/>
    <col min="18" max="18" width="14.6640625" customWidth="1"/>
  </cols>
  <sheetData>
    <row r="2" spans="1:15" ht="16" x14ac:dyDescent="0.2">
      <c r="A2" s="16" t="s">
        <v>0</v>
      </c>
    </row>
    <row r="4" spans="1:15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8</v>
      </c>
      <c r="F4" s="18" t="s">
        <v>9</v>
      </c>
      <c r="G4" s="18" t="s">
        <v>10</v>
      </c>
      <c r="H4" s="18" t="s">
        <v>3</v>
      </c>
      <c r="J4" t="s">
        <v>12</v>
      </c>
    </row>
    <row r="5" spans="1:15" x14ac:dyDescent="0.15">
      <c r="A5" s="1">
        <v>1</v>
      </c>
      <c r="B5" s="2">
        <v>12.6</v>
      </c>
      <c r="C5" s="3">
        <v>23</v>
      </c>
      <c r="D5" s="4">
        <v>154.25</v>
      </c>
      <c r="E5" s="2">
        <v>85.2</v>
      </c>
      <c r="F5" s="2">
        <v>94.5</v>
      </c>
      <c r="G5" s="2">
        <v>59</v>
      </c>
      <c r="H5" s="101">
        <f>IF(C5&gt;30,1,0)</f>
        <v>0</v>
      </c>
    </row>
    <row r="6" spans="1:15" x14ac:dyDescent="0.15">
      <c r="A6" s="6">
        <v>2</v>
      </c>
      <c r="B6" s="7">
        <v>6.9</v>
      </c>
      <c r="C6" s="8">
        <v>22</v>
      </c>
      <c r="D6" s="9">
        <v>173.25</v>
      </c>
      <c r="E6" s="7">
        <v>83</v>
      </c>
      <c r="F6" s="7">
        <v>98.7</v>
      </c>
      <c r="G6" s="7">
        <v>58.7</v>
      </c>
      <c r="H6" s="101">
        <f t="shared" ref="H6:H54" si="0">IF(C6&gt;30,1,0)</f>
        <v>0</v>
      </c>
      <c r="J6" s="249" t="s">
        <v>14</v>
      </c>
      <c r="K6" s="249"/>
    </row>
    <row r="7" spans="1:15" x14ac:dyDescent="0.15">
      <c r="A7" s="6">
        <v>3</v>
      </c>
      <c r="B7" s="7">
        <v>24.6</v>
      </c>
      <c r="C7" s="8">
        <v>22</v>
      </c>
      <c r="D7" s="9">
        <v>154</v>
      </c>
      <c r="E7" s="7">
        <v>87.9</v>
      </c>
      <c r="F7" s="7">
        <v>99.2</v>
      </c>
      <c r="G7" s="7">
        <v>59.6</v>
      </c>
      <c r="H7" s="101">
        <f t="shared" si="0"/>
        <v>0</v>
      </c>
      <c r="J7" t="s">
        <v>15</v>
      </c>
      <c r="K7">
        <v>0.91773811142644002</v>
      </c>
    </row>
    <row r="8" spans="1:15" x14ac:dyDescent="0.15">
      <c r="A8" s="6">
        <v>4</v>
      </c>
      <c r="B8" s="7">
        <v>10.9</v>
      </c>
      <c r="C8" s="8">
        <v>26</v>
      </c>
      <c r="D8" s="9">
        <v>184.75</v>
      </c>
      <c r="E8" s="7">
        <v>86.4</v>
      </c>
      <c r="F8" s="7">
        <v>101.2</v>
      </c>
      <c r="G8" s="7">
        <v>60.1</v>
      </c>
      <c r="H8" s="101">
        <f t="shared" si="0"/>
        <v>0</v>
      </c>
      <c r="J8" t="s">
        <v>16</v>
      </c>
      <c r="K8">
        <v>0.84224324116456994</v>
      </c>
    </row>
    <row r="9" spans="1:15" x14ac:dyDescent="0.15">
      <c r="A9" s="6">
        <v>5</v>
      </c>
      <c r="B9" s="7">
        <v>27.8</v>
      </c>
      <c r="C9" s="8">
        <v>24</v>
      </c>
      <c r="D9" s="9">
        <v>184.25</v>
      </c>
      <c r="E9" s="7">
        <v>100</v>
      </c>
      <c r="F9" s="7">
        <v>101.9</v>
      </c>
      <c r="G9" s="7">
        <v>63.2</v>
      </c>
      <c r="H9" s="101">
        <f t="shared" si="0"/>
        <v>0</v>
      </c>
      <c r="J9" t="s">
        <v>17</v>
      </c>
      <c r="K9" s="116">
        <v>0.82431633675145299</v>
      </c>
    </row>
    <row r="10" spans="1:15" x14ac:dyDescent="0.15">
      <c r="A10" s="6">
        <v>6</v>
      </c>
      <c r="B10" s="7">
        <v>20.6</v>
      </c>
      <c r="C10" s="8">
        <v>24</v>
      </c>
      <c r="D10" s="9">
        <v>210.25</v>
      </c>
      <c r="E10" s="7">
        <v>94.4</v>
      </c>
      <c r="F10" s="7">
        <v>107.8</v>
      </c>
      <c r="G10" s="7">
        <v>66</v>
      </c>
      <c r="H10" s="101">
        <f t="shared" si="0"/>
        <v>0</v>
      </c>
      <c r="J10" t="s">
        <v>18</v>
      </c>
      <c r="K10">
        <v>3.80639484908937</v>
      </c>
    </row>
    <row r="11" spans="1:15" x14ac:dyDescent="0.15">
      <c r="A11" s="6">
        <v>7</v>
      </c>
      <c r="B11" s="7">
        <v>19</v>
      </c>
      <c r="C11" s="8">
        <v>26</v>
      </c>
      <c r="D11" s="9">
        <v>181</v>
      </c>
      <c r="E11" s="7">
        <v>90.7</v>
      </c>
      <c r="F11" s="7">
        <v>100.3</v>
      </c>
      <c r="G11" s="7">
        <v>58.4</v>
      </c>
      <c r="H11" s="101">
        <f t="shared" si="0"/>
        <v>0</v>
      </c>
      <c r="J11" s="118" t="s">
        <v>19</v>
      </c>
      <c r="K11" s="118">
        <v>50</v>
      </c>
    </row>
    <row r="12" spans="1:15" x14ac:dyDescent="0.15">
      <c r="A12" s="6">
        <v>8</v>
      </c>
      <c r="B12" s="7">
        <v>12.8</v>
      </c>
      <c r="C12" s="8">
        <v>25</v>
      </c>
      <c r="D12" s="9">
        <v>176</v>
      </c>
      <c r="E12" s="7">
        <v>88.5</v>
      </c>
      <c r="F12" s="7">
        <v>97.1</v>
      </c>
      <c r="G12" s="7">
        <v>60</v>
      </c>
      <c r="H12" s="101">
        <f t="shared" si="0"/>
        <v>0</v>
      </c>
    </row>
    <row r="13" spans="1:15" x14ac:dyDescent="0.15">
      <c r="A13" s="6">
        <v>9</v>
      </c>
      <c r="B13" s="7">
        <v>5.0999999999999996</v>
      </c>
      <c r="C13" s="8">
        <v>25</v>
      </c>
      <c r="D13" s="9">
        <v>191</v>
      </c>
      <c r="E13" s="7">
        <v>82.5</v>
      </c>
      <c r="F13" s="7">
        <v>99.9</v>
      </c>
      <c r="G13" s="7">
        <v>62.9</v>
      </c>
      <c r="H13" s="101">
        <f t="shared" si="0"/>
        <v>0</v>
      </c>
      <c r="J13" t="s">
        <v>20</v>
      </c>
    </row>
    <row r="14" spans="1:15" x14ac:dyDescent="0.15">
      <c r="A14" s="6">
        <v>10</v>
      </c>
      <c r="B14" s="7">
        <v>12</v>
      </c>
      <c r="C14" s="8">
        <v>23</v>
      </c>
      <c r="D14" s="9">
        <v>198.25</v>
      </c>
      <c r="E14" s="7">
        <v>88.6</v>
      </c>
      <c r="F14" s="7">
        <v>104.1</v>
      </c>
      <c r="G14" s="7">
        <v>63.1</v>
      </c>
      <c r="H14" s="101">
        <f t="shared" si="0"/>
        <v>0</v>
      </c>
      <c r="J14" s="178"/>
      <c r="K14" s="178" t="s">
        <v>21</v>
      </c>
      <c r="L14" s="178" t="s">
        <v>22</v>
      </c>
      <c r="M14" s="178" t="s">
        <v>23</v>
      </c>
      <c r="N14" s="178" t="s">
        <v>24</v>
      </c>
      <c r="O14" s="178" t="s">
        <v>25</v>
      </c>
    </row>
    <row r="15" spans="1:15" x14ac:dyDescent="0.15">
      <c r="A15" s="6">
        <v>11</v>
      </c>
      <c r="B15" s="7">
        <v>7.5</v>
      </c>
      <c r="C15" s="8">
        <v>26</v>
      </c>
      <c r="D15" s="9">
        <v>186.25</v>
      </c>
      <c r="E15" s="7">
        <v>83.6</v>
      </c>
      <c r="F15" s="7">
        <v>98.2</v>
      </c>
      <c r="G15" s="7">
        <v>59.7</v>
      </c>
      <c r="H15" s="101">
        <f t="shared" si="0"/>
        <v>0</v>
      </c>
      <c r="J15" t="s">
        <v>26</v>
      </c>
      <c r="K15">
        <v>5</v>
      </c>
      <c r="L15">
        <v>3403.53256312433</v>
      </c>
      <c r="M15">
        <v>680.70651262486695</v>
      </c>
      <c r="N15">
        <v>46.982079100522498</v>
      </c>
      <c r="O15" s="91">
        <v>1.11022302462515E-16</v>
      </c>
    </row>
    <row r="16" spans="1:15" x14ac:dyDescent="0.15">
      <c r="A16" s="6">
        <v>12</v>
      </c>
      <c r="B16" s="7">
        <v>8.5</v>
      </c>
      <c r="C16" s="8">
        <v>27</v>
      </c>
      <c r="D16" s="9">
        <v>216</v>
      </c>
      <c r="E16" s="7">
        <v>90.9</v>
      </c>
      <c r="F16" s="7">
        <v>107.7</v>
      </c>
      <c r="G16" s="7">
        <v>66.2</v>
      </c>
      <c r="H16" s="101">
        <f>IF(C16&gt;30,1,0)</f>
        <v>0</v>
      </c>
      <c r="J16" t="s">
        <v>27</v>
      </c>
      <c r="K16">
        <v>44</v>
      </c>
      <c r="L16">
        <v>637.50023687566102</v>
      </c>
      <c r="M16">
        <v>14.4886417471741</v>
      </c>
    </row>
    <row r="17" spans="1:18" x14ac:dyDescent="0.15">
      <c r="A17" s="6">
        <v>13</v>
      </c>
      <c r="B17" s="7">
        <v>20.5</v>
      </c>
      <c r="C17" s="8">
        <v>32</v>
      </c>
      <c r="D17" s="9">
        <v>180.5</v>
      </c>
      <c r="E17" s="7">
        <v>91.6</v>
      </c>
      <c r="F17" s="7">
        <v>103.9</v>
      </c>
      <c r="G17" s="7">
        <v>63.4</v>
      </c>
      <c r="H17" s="101">
        <f t="shared" si="0"/>
        <v>1</v>
      </c>
      <c r="J17" s="118" t="s">
        <v>28</v>
      </c>
      <c r="K17" s="118">
        <v>49</v>
      </c>
      <c r="L17" s="118">
        <v>4041.0328</v>
      </c>
      <c r="M17" s="118"/>
      <c r="N17" s="118"/>
      <c r="O17" s="118"/>
    </row>
    <row r="18" spans="1:18" x14ac:dyDescent="0.15">
      <c r="A18" s="6">
        <v>14</v>
      </c>
      <c r="B18" s="7">
        <v>20.8</v>
      </c>
      <c r="C18" s="8">
        <v>30</v>
      </c>
      <c r="D18" s="9">
        <v>205.25</v>
      </c>
      <c r="E18" s="7">
        <v>101.8</v>
      </c>
      <c r="F18" s="7">
        <v>108.6</v>
      </c>
      <c r="G18" s="7">
        <v>66</v>
      </c>
      <c r="H18" s="101">
        <f t="shared" si="0"/>
        <v>0</v>
      </c>
    </row>
    <row r="19" spans="1:18" x14ac:dyDescent="0.15">
      <c r="A19" s="6">
        <v>15</v>
      </c>
      <c r="B19" s="7">
        <v>21.7</v>
      </c>
      <c r="C19" s="8">
        <v>35</v>
      </c>
      <c r="D19" s="9">
        <v>187.75</v>
      </c>
      <c r="E19" s="7">
        <v>96.4</v>
      </c>
      <c r="F19" s="7">
        <v>100.1</v>
      </c>
      <c r="G19" s="7">
        <v>69</v>
      </c>
      <c r="H19" s="101">
        <f t="shared" si="0"/>
        <v>1</v>
      </c>
      <c r="J19" s="117"/>
      <c r="K19" s="178" t="s">
        <v>29</v>
      </c>
      <c r="L19" s="178" t="s">
        <v>18</v>
      </c>
      <c r="M19" s="178" t="s">
        <v>30</v>
      </c>
      <c r="N19" s="178" t="s">
        <v>31</v>
      </c>
      <c r="O19" s="178" t="s">
        <v>32</v>
      </c>
      <c r="P19" s="178" t="s">
        <v>33</v>
      </c>
      <c r="Q19" s="178" t="s">
        <v>32</v>
      </c>
      <c r="R19" s="178" t="s">
        <v>33</v>
      </c>
    </row>
    <row r="20" spans="1:18" x14ac:dyDescent="0.15">
      <c r="A20" s="6">
        <v>16</v>
      </c>
      <c r="B20" s="7">
        <v>20.5</v>
      </c>
      <c r="C20" s="8">
        <v>35</v>
      </c>
      <c r="D20" s="9">
        <v>162.75</v>
      </c>
      <c r="E20" s="7">
        <v>92.8</v>
      </c>
      <c r="F20" s="7">
        <v>99.2</v>
      </c>
      <c r="G20" s="7">
        <v>63.1</v>
      </c>
      <c r="H20" s="101">
        <f t="shared" si="0"/>
        <v>1</v>
      </c>
      <c r="J20" t="s">
        <v>36</v>
      </c>
      <c r="K20">
        <v>-53.101126400939201</v>
      </c>
      <c r="L20">
        <v>11.9604860745854</v>
      </c>
      <c r="M20">
        <v>-4.4397130743517703</v>
      </c>
      <c r="N20">
        <v>5.97963891926851E-5</v>
      </c>
      <c r="O20">
        <v>-77.205901879567804</v>
      </c>
      <c r="P20">
        <v>-28.996350922310501</v>
      </c>
      <c r="Q20">
        <v>-77.205901879567804</v>
      </c>
      <c r="R20">
        <v>-28.996350922310501</v>
      </c>
    </row>
    <row r="21" spans="1:18" x14ac:dyDescent="0.15">
      <c r="A21" s="6">
        <v>17</v>
      </c>
      <c r="B21" s="7">
        <v>28.1</v>
      </c>
      <c r="C21" s="8">
        <v>34</v>
      </c>
      <c r="D21" s="9">
        <v>195.75</v>
      </c>
      <c r="E21" s="7">
        <v>96.4</v>
      </c>
      <c r="F21" s="7">
        <v>105.2</v>
      </c>
      <c r="G21" s="7">
        <v>64.8</v>
      </c>
      <c r="H21" s="101">
        <f t="shared" si="0"/>
        <v>1</v>
      </c>
      <c r="J21" t="s">
        <v>4</v>
      </c>
      <c r="K21">
        <v>-0.24290791428077299</v>
      </c>
      <c r="L21">
        <v>5.2580446753210601E-2</v>
      </c>
      <c r="M21">
        <v>-4.6197385012888104</v>
      </c>
      <c r="N21">
        <v>3.3475786334717399E-5</v>
      </c>
      <c r="O21">
        <v>-0.348876840263245</v>
      </c>
      <c r="P21">
        <v>-0.13693898829830101</v>
      </c>
      <c r="Q21">
        <v>-0.348876840263245</v>
      </c>
      <c r="R21">
        <v>-0.13693898829830101</v>
      </c>
    </row>
    <row r="22" spans="1:18" x14ac:dyDescent="0.15">
      <c r="A22" s="6">
        <v>18</v>
      </c>
      <c r="B22" s="7">
        <v>22.4</v>
      </c>
      <c r="C22" s="8">
        <v>32</v>
      </c>
      <c r="D22" s="9">
        <v>209.25</v>
      </c>
      <c r="E22" s="7">
        <v>97.5</v>
      </c>
      <c r="F22" s="7">
        <v>107</v>
      </c>
      <c r="G22" s="7">
        <v>66.900000000000006</v>
      </c>
      <c r="H22" s="101">
        <f t="shared" si="0"/>
        <v>1</v>
      </c>
      <c r="J22" t="s">
        <v>8</v>
      </c>
      <c r="K22">
        <v>0.89982685721764399</v>
      </c>
      <c r="L22">
        <v>0.12479603668670999</v>
      </c>
      <c r="M22">
        <v>7.2103800818336703</v>
      </c>
      <c r="N22" s="91">
        <v>5.6268055099014302E-9</v>
      </c>
      <c r="O22">
        <v>0.64831697491044504</v>
      </c>
      <c r="P22">
        <v>1.1513367395248399</v>
      </c>
      <c r="Q22">
        <v>0.64831697491044504</v>
      </c>
      <c r="R22">
        <v>1.1513367395248399</v>
      </c>
    </row>
    <row r="23" spans="1:18" x14ac:dyDescent="0.15">
      <c r="A23" s="6">
        <v>19</v>
      </c>
      <c r="B23" s="7">
        <v>16.100000000000001</v>
      </c>
      <c r="C23" s="8">
        <v>28</v>
      </c>
      <c r="D23" s="9">
        <v>183.75</v>
      </c>
      <c r="E23" s="7">
        <v>89.6</v>
      </c>
      <c r="F23" s="7">
        <v>102.4</v>
      </c>
      <c r="G23" s="7">
        <v>64.2</v>
      </c>
      <c r="H23" s="101">
        <f t="shared" si="0"/>
        <v>0</v>
      </c>
      <c r="J23" s="141" t="s">
        <v>9</v>
      </c>
      <c r="K23">
        <v>-0.13358238981173001</v>
      </c>
      <c r="L23">
        <v>0.23856545112750999</v>
      </c>
      <c r="M23">
        <v>-0.55994021422796902</v>
      </c>
      <c r="N23" s="141">
        <v>0.57835997458292199</v>
      </c>
      <c r="O23">
        <v>-0.61437945780093595</v>
      </c>
      <c r="P23">
        <v>0.34721467817747498</v>
      </c>
      <c r="Q23">
        <v>-0.61437945780093595</v>
      </c>
      <c r="R23">
        <v>0.34721467817747498</v>
      </c>
    </row>
    <row r="24" spans="1:18" x14ac:dyDescent="0.15">
      <c r="A24" s="6">
        <v>20</v>
      </c>
      <c r="B24" s="7">
        <v>16.5</v>
      </c>
      <c r="C24" s="8">
        <v>33</v>
      </c>
      <c r="D24" s="9">
        <v>211.75</v>
      </c>
      <c r="E24" s="7">
        <v>100.5</v>
      </c>
      <c r="F24" s="7">
        <v>109</v>
      </c>
      <c r="G24" s="7">
        <v>65.8</v>
      </c>
      <c r="H24" s="101">
        <f t="shared" si="0"/>
        <v>1</v>
      </c>
      <c r="J24" t="s">
        <v>10</v>
      </c>
      <c r="K24">
        <v>0.730445006598193</v>
      </c>
      <c r="L24">
        <v>0.252446970704584</v>
      </c>
      <c r="M24">
        <v>2.8934591869314401</v>
      </c>
      <c r="N24">
        <v>5.9059106779364504E-3</v>
      </c>
      <c r="O24">
        <v>0.22167157455313399</v>
      </c>
      <c r="P24">
        <v>1.2392184386432501</v>
      </c>
      <c r="Q24">
        <v>0.22167157455313399</v>
      </c>
      <c r="R24">
        <v>1.2392184386432501</v>
      </c>
    </row>
    <row r="25" spans="1:18" x14ac:dyDescent="0.15">
      <c r="A25" s="6">
        <v>21</v>
      </c>
      <c r="B25" s="7">
        <v>19</v>
      </c>
      <c r="C25" s="8">
        <v>28</v>
      </c>
      <c r="D25" s="9">
        <v>179</v>
      </c>
      <c r="E25" s="7">
        <v>95.9</v>
      </c>
      <c r="F25" s="7">
        <v>104.9</v>
      </c>
      <c r="G25" s="7">
        <v>63.5</v>
      </c>
      <c r="H25" s="101">
        <f t="shared" si="0"/>
        <v>0</v>
      </c>
      <c r="J25" s="118" t="s">
        <v>3</v>
      </c>
      <c r="K25" s="118">
        <v>2.2398016263554599</v>
      </c>
      <c r="L25" s="118">
        <v>1.2228950570011099</v>
      </c>
      <c r="M25" s="118">
        <v>1.8315566928924301</v>
      </c>
      <c r="N25" s="118">
        <v>7.3792919701623202E-2</v>
      </c>
      <c r="O25" s="118">
        <v>-0.22478138466220099</v>
      </c>
      <c r="P25" s="118">
        <v>4.7043846373731304</v>
      </c>
      <c r="Q25" s="118">
        <v>-0.22478138466220099</v>
      </c>
      <c r="R25" s="118">
        <v>4.7043846373731304</v>
      </c>
    </row>
    <row r="26" spans="1:18" x14ac:dyDescent="0.15">
      <c r="A26" s="6">
        <v>22</v>
      </c>
      <c r="B26" s="7">
        <v>15.3</v>
      </c>
      <c r="C26" s="8">
        <v>28</v>
      </c>
      <c r="D26" s="9">
        <v>200.5</v>
      </c>
      <c r="E26" s="7">
        <v>98.8</v>
      </c>
      <c r="F26" s="7">
        <v>104.8</v>
      </c>
      <c r="G26" s="7">
        <v>63.4</v>
      </c>
      <c r="H26" s="101">
        <f t="shared" si="0"/>
        <v>0</v>
      </c>
    </row>
    <row r="27" spans="1:18" x14ac:dyDescent="0.15">
      <c r="A27" s="6">
        <v>23</v>
      </c>
      <c r="B27" s="7">
        <v>15.7</v>
      </c>
      <c r="C27" s="8">
        <v>31</v>
      </c>
      <c r="D27" s="9">
        <v>140.25</v>
      </c>
      <c r="E27" s="7">
        <v>76.400000000000006</v>
      </c>
      <c r="F27" s="7">
        <v>94.6</v>
      </c>
      <c r="G27" s="7">
        <v>57.4</v>
      </c>
      <c r="H27" s="101">
        <f t="shared" si="0"/>
        <v>1</v>
      </c>
    </row>
    <row r="28" spans="1:18" x14ac:dyDescent="0.15">
      <c r="A28" s="6">
        <v>24</v>
      </c>
      <c r="B28" s="7">
        <v>17.600000000000001</v>
      </c>
      <c r="C28" s="8">
        <v>32</v>
      </c>
      <c r="D28" s="9">
        <v>148.75</v>
      </c>
      <c r="E28" s="7">
        <v>80</v>
      </c>
      <c r="F28" s="7">
        <v>93.4</v>
      </c>
      <c r="G28" s="7">
        <v>54.9</v>
      </c>
      <c r="H28" s="101">
        <f t="shared" si="0"/>
        <v>1</v>
      </c>
      <c r="J28" s="127" t="s">
        <v>63</v>
      </c>
    </row>
    <row r="29" spans="1:18" x14ac:dyDescent="0.15">
      <c r="A29" s="6">
        <v>25</v>
      </c>
      <c r="B29" s="7">
        <v>14.2</v>
      </c>
      <c r="C29" s="8">
        <v>28</v>
      </c>
      <c r="D29" s="9">
        <v>151.25</v>
      </c>
      <c r="E29" s="7">
        <v>76.3</v>
      </c>
      <c r="F29" s="7">
        <v>95.8</v>
      </c>
      <c r="G29" s="7">
        <v>58.4</v>
      </c>
      <c r="H29" s="101">
        <f t="shared" si="0"/>
        <v>0</v>
      </c>
    </row>
    <row r="30" spans="1:18" x14ac:dyDescent="0.15">
      <c r="A30" s="6">
        <v>26</v>
      </c>
      <c r="B30" s="7">
        <v>4.5999999999999996</v>
      </c>
      <c r="C30" s="8">
        <v>27</v>
      </c>
      <c r="D30" s="9">
        <v>159.25</v>
      </c>
      <c r="E30" s="7">
        <v>79.7</v>
      </c>
      <c r="F30" s="7">
        <v>96.5</v>
      </c>
      <c r="G30" s="7">
        <v>55</v>
      </c>
      <c r="H30" s="101">
        <f t="shared" si="0"/>
        <v>0</v>
      </c>
    </row>
    <row r="31" spans="1:18" x14ac:dyDescent="0.15">
      <c r="A31" s="6">
        <v>27</v>
      </c>
      <c r="B31" s="7">
        <v>8.5</v>
      </c>
      <c r="C31" s="8">
        <v>34</v>
      </c>
      <c r="D31" s="9">
        <v>131.5</v>
      </c>
      <c r="E31" s="7">
        <v>74.599999999999994</v>
      </c>
      <c r="F31" s="7">
        <v>85.3</v>
      </c>
      <c r="G31" s="7">
        <v>51.7</v>
      </c>
      <c r="H31" s="101">
        <f t="shared" si="0"/>
        <v>1</v>
      </c>
    </row>
    <row r="32" spans="1:18" x14ac:dyDescent="0.15">
      <c r="A32" s="6">
        <v>28</v>
      </c>
      <c r="B32" s="7">
        <v>22.4</v>
      </c>
      <c r="C32" s="8">
        <v>31</v>
      </c>
      <c r="D32" s="9">
        <v>148</v>
      </c>
      <c r="E32" s="7">
        <v>88.7</v>
      </c>
      <c r="F32" s="7">
        <v>94.7</v>
      </c>
      <c r="G32" s="7">
        <v>57.5</v>
      </c>
      <c r="H32" s="101">
        <f t="shared" si="0"/>
        <v>1</v>
      </c>
    </row>
    <row r="33" spans="1:8" x14ac:dyDescent="0.15">
      <c r="A33" s="6">
        <v>29</v>
      </c>
      <c r="B33" s="7">
        <v>4.7</v>
      </c>
      <c r="C33" s="8">
        <v>27</v>
      </c>
      <c r="D33" s="9">
        <v>133.25</v>
      </c>
      <c r="E33" s="7">
        <v>73.900000000000006</v>
      </c>
      <c r="F33" s="7">
        <v>88.5</v>
      </c>
      <c r="G33" s="7">
        <v>50.1</v>
      </c>
      <c r="H33" s="101">
        <f t="shared" si="0"/>
        <v>0</v>
      </c>
    </row>
    <row r="34" spans="1:8" x14ac:dyDescent="0.15">
      <c r="A34" s="6">
        <v>30</v>
      </c>
      <c r="B34" s="7">
        <v>9.4</v>
      </c>
      <c r="C34" s="8">
        <v>29</v>
      </c>
      <c r="D34" s="9">
        <v>160.75</v>
      </c>
      <c r="E34" s="7">
        <v>83.5</v>
      </c>
      <c r="F34" s="7">
        <v>98.7</v>
      </c>
      <c r="G34" s="7">
        <v>58.9</v>
      </c>
      <c r="H34" s="101">
        <f t="shared" si="0"/>
        <v>0</v>
      </c>
    </row>
    <row r="35" spans="1:8" x14ac:dyDescent="0.15">
      <c r="A35" s="6">
        <v>31</v>
      </c>
      <c r="B35" s="7">
        <v>12.3</v>
      </c>
      <c r="C35" s="8">
        <v>32</v>
      </c>
      <c r="D35" s="9">
        <v>182</v>
      </c>
      <c r="E35" s="7">
        <v>88.7</v>
      </c>
      <c r="F35" s="7">
        <v>99.8</v>
      </c>
      <c r="G35" s="7">
        <v>57.5</v>
      </c>
      <c r="H35" s="101">
        <f t="shared" si="0"/>
        <v>1</v>
      </c>
    </row>
    <row r="36" spans="1:8" x14ac:dyDescent="0.15">
      <c r="A36" s="6">
        <v>32</v>
      </c>
      <c r="B36" s="7">
        <v>6.5</v>
      </c>
      <c r="C36" s="8">
        <v>29</v>
      </c>
      <c r="D36" s="9">
        <v>160.25</v>
      </c>
      <c r="E36" s="7">
        <v>84.5</v>
      </c>
      <c r="F36" s="7">
        <v>100.6</v>
      </c>
      <c r="G36" s="7">
        <v>58.5</v>
      </c>
      <c r="H36" s="101">
        <f t="shared" si="0"/>
        <v>0</v>
      </c>
    </row>
    <row r="37" spans="1:8" x14ac:dyDescent="0.15">
      <c r="A37" s="6">
        <v>33</v>
      </c>
      <c r="B37" s="7">
        <v>13.4</v>
      </c>
      <c r="C37" s="8">
        <v>27</v>
      </c>
      <c r="D37" s="9">
        <v>168</v>
      </c>
      <c r="E37" s="7">
        <v>79.099999999999994</v>
      </c>
      <c r="F37" s="7">
        <v>94.5</v>
      </c>
      <c r="G37" s="7">
        <v>57.3</v>
      </c>
      <c r="H37" s="101">
        <f t="shared" si="0"/>
        <v>0</v>
      </c>
    </row>
    <row r="38" spans="1:8" x14ac:dyDescent="0.15">
      <c r="A38" s="6">
        <v>34</v>
      </c>
      <c r="B38" s="7">
        <v>20.9</v>
      </c>
      <c r="C38" s="8">
        <v>41</v>
      </c>
      <c r="D38" s="9">
        <v>218.5</v>
      </c>
      <c r="E38" s="7">
        <v>100.5</v>
      </c>
      <c r="F38" s="7">
        <v>108.3</v>
      </c>
      <c r="G38" s="7">
        <v>67.099999999999994</v>
      </c>
      <c r="H38" s="101">
        <f t="shared" si="0"/>
        <v>1</v>
      </c>
    </row>
    <row r="39" spans="1:8" x14ac:dyDescent="0.15">
      <c r="A39" s="6">
        <v>35</v>
      </c>
      <c r="B39" s="7">
        <v>31.1</v>
      </c>
      <c r="C39" s="8">
        <v>41</v>
      </c>
      <c r="D39" s="9">
        <v>247.25</v>
      </c>
      <c r="E39" s="7">
        <v>115.6</v>
      </c>
      <c r="F39" s="7">
        <v>116.1</v>
      </c>
      <c r="G39" s="7">
        <v>71.2</v>
      </c>
      <c r="H39" s="101">
        <f t="shared" si="0"/>
        <v>1</v>
      </c>
    </row>
    <row r="40" spans="1:8" x14ac:dyDescent="0.15">
      <c r="A40" s="6">
        <v>36</v>
      </c>
      <c r="B40" s="7">
        <v>38.200000000000003</v>
      </c>
      <c r="C40" s="8">
        <v>49</v>
      </c>
      <c r="D40" s="9">
        <v>191.75</v>
      </c>
      <c r="E40" s="7">
        <v>113.1</v>
      </c>
      <c r="F40" s="7">
        <v>113.8</v>
      </c>
      <c r="G40" s="7">
        <v>61.9</v>
      </c>
      <c r="H40" s="101">
        <f t="shared" si="0"/>
        <v>1</v>
      </c>
    </row>
    <row r="41" spans="1:8" x14ac:dyDescent="0.15">
      <c r="A41" s="6">
        <v>37</v>
      </c>
      <c r="B41" s="7">
        <v>23.6</v>
      </c>
      <c r="C41" s="8">
        <v>40</v>
      </c>
      <c r="D41" s="9">
        <v>202.25</v>
      </c>
      <c r="E41" s="7">
        <v>100.9</v>
      </c>
      <c r="F41" s="7">
        <v>106.2</v>
      </c>
      <c r="G41" s="7">
        <v>63.5</v>
      </c>
      <c r="H41" s="101">
        <f t="shared" si="0"/>
        <v>1</v>
      </c>
    </row>
    <row r="42" spans="1:8" x14ac:dyDescent="0.15">
      <c r="A42" s="6">
        <v>38</v>
      </c>
      <c r="B42" s="7">
        <v>27.5</v>
      </c>
      <c r="C42" s="8">
        <v>50</v>
      </c>
      <c r="D42" s="9">
        <v>196.75</v>
      </c>
      <c r="E42" s="7">
        <v>98.8</v>
      </c>
      <c r="F42" s="7">
        <v>104.8</v>
      </c>
      <c r="G42" s="7">
        <v>66</v>
      </c>
      <c r="H42" s="101">
        <f t="shared" si="0"/>
        <v>1</v>
      </c>
    </row>
    <row r="43" spans="1:8" x14ac:dyDescent="0.15">
      <c r="A43" s="6">
        <v>39</v>
      </c>
      <c r="B43" s="7">
        <v>33.799999999999997</v>
      </c>
      <c r="C43" s="8">
        <v>46</v>
      </c>
      <c r="D43" s="9">
        <v>363.15</v>
      </c>
      <c r="E43" s="7">
        <v>148.1</v>
      </c>
      <c r="F43" s="7">
        <v>147.69999999999999</v>
      </c>
      <c r="G43" s="7">
        <v>87.3</v>
      </c>
      <c r="H43" s="101">
        <f t="shared" si="0"/>
        <v>1</v>
      </c>
    </row>
    <row r="44" spans="1:8" x14ac:dyDescent="0.15">
      <c r="A44" s="6">
        <v>40</v>
      </c>
      <c r="B44" s="7">
        <v>31.3</v>
      </c>
      <c r="C44" s="8">
        <v>50</v>
      </c>
      <c r="D44" s="9">
        <v>203</v>
      </c>
      <c r="E44" s="7">
        <v>108.1</v>
      </c>
      <c r="F44" s="7">
        <v>102.5</v>
      </c>
      <c r="G44" s="7">
        <v>61.3</v>
      </c>
      <c r="H44" s="101">
        <f t="shared" si="0"/>
        <v>1</v>
      </c>
    </row>
    <row r="45" spans="1:8" x14ac:dyDescent="0.15">
      <c r="A45" s="6">
        <v>41</v>
      </c>
      <c r="B45" s="7">
        <v>33.1</v>
      </c>
      <c r="C45" s="8">
        <v>45</v>
      </c>
      <c r="D45" s="9">
        <v>262.75</v>
      </c>
      <c r="E45" s="7">
        <v>126.2</v>
      </c>
      <c r="F45" s="7">
        <v>125.6</v>
      </c>
      <c r="G45" s="7">
        <v>72.5</v>
      </c>
      <c r="H45" s="101">
        <f t="shared" si="0"/>
        <v>1</v>
      </c>
    </row>
    <row r="46" spans="1:8" x14ac:dyDescent="0.15">
      <c r="A46" s="6">
        <v>42</v>
      </c>
      <c r="B46" s="7">
        <v>31.7</v>
      </c>
      <c r="C46" s="8">
        <v>44</v>
      </c>
      <c r="D46" s="9">
        <v>205</v>
      </c>
      <c r="E46" s="7">
        <v>104.3</v>
      </c>
      <c r="F46" s="7">
        <v>115.5</v>
      </c>
      <c r="G46" s="7">
        <v>70.599999999999994</v>
      </c>
      <c r="H46" s="101">
        <f t="shared" si="0"/>
        <v>1</v>
      </c>
    </row>
    <row r="47" spans="1:8" x14ac:dyDescent="0.15">
      <c r="A47" s="6">
        <v>43</v>
      </c>
      <c r="B47" s="7">
        <v>30.4</v>
      </c>
      <c r="C47" s="8">
        <v>48</v>
      </c>
      <c r="D47" s="9">
        <v>217</v>
      </c>
      <c r="E47" s="7">
        <v>111.2</v>
      </c>
      <c r="F47" s="7">
        <v>114.1</v>
      </c>
      <c r="G47" s="7">
        <v>67.7</v>
      </c>
      <c r="H47" s="101">
        <f t="shared" si="0"/>
        <v>1</v>
      </c>
    </row>
    <row r="48" spans="1:8" x14ac:dyDescent="0.15">
      <c r="A48" s="6">
        <v>44</v>
      </c>
      <c r="B48" s="7">
        <v>30.8</v>
      </c>
      <c r="C48" s="8">
        <v>41</v>
      </c>
      <c r="D48" s="9">
        <v>212</v>
      </c>
      <c r="E48" s="7">
        <v>104.3</v>
      </c>
      <c r="F48" s="7">
        <v>106</v>
      </c>
      <c r="G48" s="7">
        <v>65</v>
      </c>
      <c r="H48" s="101">
        <f t="shared" si="0"/>
        <v>1</v>
      </c>
    </row>
    <row r="49" spans="1:8" x14ac:dyDescent="0.15">
      <c r="A49" s="6">
        <v>45</v>
      </c>
      <c r="B49" s="7">
        <v>8.4</v>
      </c>
      <c r="C49" s="8">
        <v>39</v>
      </c>
      <c r="D49" s="9">
        <v>125.25</v>
      </c>
      <c r="E49" s="7">
        <v>76</v>
      </c>
      <c r="F49" s="7">
        <v>88.2</v>
      </c>
      <c r="G49" s="7">
        <v>50</v>
      </c>
      <c r="H49" s="101">
        <f t="shared" si="0"/>
        <v>1</v>
      </c>
    </row>
    <row r="50" spans="1:8" x14ac:dyDescent="0.15">
      <c r="A50" s="6">
        <v>46</v>
      </c>
      <c r="B50" s="7">
        <v>14.1</v>
      </c>
      <c r="C50" s="8">
        <v>43</v>
      </c>
      <c r="D50" s="9">
        <v>164.25</v>
      </c>
      <c r="E50" s="7">
        <v>81.5</v>
      </c>
      <c r="F50" s="7">
        <v>97.2</v>
      </c>
      <c r="G50" s="7">
        <v>58.4</v>
      </c>
      <c r="H50" s="101">
        <f t="shared" si="0"/>
        <v>1</v>
      </c>
    </row>
    <row r="51" spans="1:8" x14ac:dyDescent="0.15">
      <c r="A51" s="6">
        <v>47</v>
      </c>
      <c r="B51" s="7">
        <v>11.2</v>
      </c>
      <c r="C51" s="8">
        <v>40</v>
      </c>
      <c r="D51" s="9">
        <v>133.5</v>
      </c>
      <c r="E51" s="7">
        <v>73.7</v>
      </c>
      <c r="F51" s="7">
        <v>88.5</v>
      </c>
      <c r="G51" s="7">
        <v>53.3</v>
      </c>
      <c r="H51" s="101">
        <f t="shared" si="0"/>
        <v>1</v>
      </c>
    </row>
    <row r="52" spans="1:8" x14ac:dyDescent="0.15">
      <c r="A52" s="6">
        <v>48</v>
      </c>
      <c r="B52" s="7">
        <v>6.4</v>
      </c>
      <c r="C52" s="8">
        <v>39</v>
      </c>
      <c r="D52" s="9">
        <v>148.5</v>
      </c>
      <c r="E52" s="7">
        <v>79.5</v>
      </c>
      <c r="F52" s="7">
        <v>92.7</v>
      </c>
      <c r="G52" s="7">
        <v>52.7</v>
      </c>
      <c r="H52" s="101">
        <f t="shared" si="0"/>
        <v>1</v>
      </c>
    </row>
    <row r="53" spans="1:8" x14ac:dyDescent="0.15">
      <c r="A53" s="6">
        <v>49</v>
      </c>
      <c r="B53" s="7">
        <v>13.4</v>
      </c>
      <c r="C53" s="8">
        <v>45</v>
      </c>
      <c r="D53" s="9">
        <v>135.75</v>
      </c>
      <c r="E53" s="7">
        <v>83.4</v>
      </c>
      <c r="F53" s="7">
        <v>90.4</v>
      </c>
      <c r="G53" s="7">
        <v>52</v>
      </c>
      <c r="H53" s="101">
        <f t="shared" si="0"/>
        <v>1</v>
      </c>
    </row>
    <row r="54" spans="1:8" x14ac:dyDescent="0.15">
      <c r="A54" s="11">
        <v>50</v>
      </c>
      <c r="B54" s="12">
        <v>5</v>
      </c>
      <c r="C54" s="134">
        <v>47</v>
      </c>
      <c r="D54" s="133">
        <v>127.5</v>
      </c>
      <c r="E54" s="12">
        <v>70.400000000000006</v>
      </c>
      <c r="F54" s="12">
        <v>87.2</v>
      </c>
      <c r="G54" s="12">
        <v>50.6</v>
      </c>
      <c r="H54" s="101">
        <f t="shared" si="0"/>
        <v>1</v>
      </c>
    </row>
  </sheetData>
  <mergeCells count="1">
    <mergeCell ref="J6:K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9AA83-4581-45DF-806D-A9BED03665EB}">
  <dimension ref="A2:Q54"/>
  <sheetViews>
    <sheetView topLeftCell="G8" workbookViewId="0">
      <selection activeCell="K27" sqref="K27"/>
    </sheetView>
  </sheetViews>
  <sheetFormatPr baseColWidth="10" defaultColWidth="8.83203125" defaultRowHeight="13" x14ac:dyDescent="0.15"/>
  <cols>
    <col min="9" max="9" width="19.1640625" bestFit="1" customWidth="1"/>
    <col min="10" max="10" width="12.6640625" bestFit="1" customWidth="1"/>
    <col min="11" max="11" width="13.5" bestFit="1" customWidth="1"/>
    <col min="12" max="12" width="12.6640625" bestFit="1" customWidth="1"/>
    <col min="13" max="13" width="12.5" bestFit="1" customWidth="1"/>
    <col min="14" max="14" width="12.83203125" bestFit="1" customWidth="1"/>
    <col min="15" max="17" width="12.6640625" bestFit="1" customWidth="1"/>
  </cols>
  <sheetData>
    <row r="2" spans="1:14" ht="16" x14ac:dyDescent="0.2">
      <c r="A2" s="16" t="s">
        <v>0</v>
      </c>
    </row>
    <row r="4" spans="1:14" x14ac:dyDescent="0.15">
      <c r="A4" s="17" t="s">
        <v>1</v>
      </c>
      <c r="B4" s="18" t="s">
        <v>2</v>
      </c>
      <c r="C4" s="18" t="s">
        <v>3</v>
      </c>
      <c r="D4" s="18" t="s">
        <v>4</v>
      </c>
      <c r="E4" s="18" t="s">
        <v>8</v>
      </c>
      <c r="F4" s="18" t="s">
        <v>10</v>
      </c>
      <c r="G4" s="18" t="s">
        <v>3</v>
      </c>
      <c r="I4" t="s">
        <v>12</v>
      </c>
    </row>
    <row r="5" spans="1:14" x14ac:dyDescent="0.15">
      <c r="A5" s="1">
        <v>1</v>
      </c>
      <c r="B5" s="2">
        <v>12.6</v>
      </c>
      <c r="C5" s="3">
        <v>23</v>
      </c>
      <c r="D5" s="4">
        <v>154.25</v>
      </c>
      <c r="E5" s="2">
        <v>85.2</v>
      </c>
      <c r="F5" s="2">
        <v>59</v>
      </c>
      <c r="G5" s="101">
        <f>IF(C5&gt;30,1,0)</f>
        <v>0</v>
      </c>
    </row>
    <row r="6" spans="1:14" x14ac:dyDescent="0.15">
      <c r="A6" s="6">
        <v>2</v>
      </c>
      <c r="B6" s="7">
        <v>6.9</v>
      </c>
      <c r="C6" s="8">
        <v>22</v>
      </c>
      <c r="D6" s="9">
        <v>173.25</v>
      </c>
      <c r="E6" s="7">
        <v>83</v>
      </c>
      <c r="F6" s="7">
        <v>58.7</v>
      </c>
      <c r="G6" s="101">
        <f t="shared" ref="G6:G54" si="0">IF(C6&gt;30,1,0)</f>
        <v>0</v>
      </c>
      <c r="I6" s="249" t="s">
        <v>14</v>
      </c>
      <c r="J6" s="249"/>
    </row>
    <row r="7" spans="1:14" x14ac:dyDescent="0.15">
      <c r="A7" s="6">
        <v>3</v>
      </c>
      <c r="B7" s="7">
        <v>24.6</v>
      </c>
      <c r="C7" s="8">
        <v>22</v>
      </c>
      <c r="D7" s="9">
        <v>154</v>
      </c>
      <c r="E7" s="7">
        <v>87.9</v>
      </c>
      <c r="F7" s="7">
        <v>59.6</v>
      </c>
      <c r="G7" s="101">
        <f t="shared" si="0"/>
        <v>0</v>
      </c>
      <c r="I7" t="s">
        <v>15</v>
      </c>
      <c r="J7">
        <v>0.91712545825400904</v>
      </c>
    </row>
    <row r="8" spans="1:14" x14ac:dyDescent="0.15">
      <c r="A8" s="6">
        <v>4</v>
      </c>
      <c r="B8" s="7">
        <v>10.9</v>
      </c>
      <c r="C8" s="8">
        <v>26</v>
      </c>
      <c r="D8" s="9">
        <v>184.75</v>
      </c>
      <c r="E8" s="7">
        <v>86.4</v>
      </c>
      <c r="F8" s="7">
        <v>60.1</v>
      </c>
      <c r="G8" s="101">
        <f t="shared" si="0"/>
        <v>0</v>
      </c>
      <c r="I8" t="s">
        <v>16</v>
      </c>
      <c r="J8">
        <v>0.84111910617762597</v>
      </c>
    </row>
    <row r="9" spans="1:14" x14ac:dyDescent="0.15">
      <c r="A9" s="6">
        <v>5</v>
      </c>
      <c r="B9" s="7">
        <v>27.8</v>
      </c>
      <c r="C9" s="8">
        <v>24</v>
      </c>
      <c r="D9" s="9">
        <v>184.25</v>
      </c>
      <c r="E9" s="7">
        <v>100</v>
      </c>
      <c r="F9" s="7">
        <v>63.2</v>
      </c>
      <c r="G9" s="101">
        <f t="shared" si="0"/>
        <v>0</v>
      </c>
      <c r="I9" t="s">
        <v>17</v>
      </c>
      <c r="J9" s="116">
        <v>0.82699636006008204</v>
      </c>
    </row>
    <row r="10" spans="1:14" x14ac:dyDescent="0.15">
      <c r="A10" s="6">
        <v>6</v>
      </c>
      <c r="B10" s="7">
        <v>20.6</v>
      </c>
      <c r="C10" s="8">
        <v>24</v>
      </c>
      <c r="D10" s="9">
        <v>210.25</v>
      </c>
      <c r="E10" s="7">
        <v>94.4</v>
      </c>
      <c r="F10" s="7">
        <v>66</v>
      </c>
      <c r="G10" s="101">
        <f t="shared" si="0"/>
        <v>0</v>
      </c>
      <c r="I10" t="s">
        <v>18</v>
      </c>
      <c r="J10">
        <v>3.7772503321552899</v>
      </c>
    </row>
    <row r="11" spans="1:14" x14ac:dyDescent="0.15">
      <c r="A11" s="6">
        <v>7</v>
      </c>
      <c r="B11" s="7">
        <v>19</v>
      </c>
      <c r="C11" s="8">
        <v>26</v>
      </c>
      <c r="D11" s="9">
        <v>181</v>
      </c>
      <c r="E11" s="7">
        <v>90.7</v>
      </c>
      <c r="F11" s="7">
        <v>58.4</v>
      </c>
      <c r="G11" s="101">
        <f t="shared" si="0"/>
        <v>0</v>
      </c>
      <c r="I11" s="118" t="s">
        <v>19</v>
      </c>
      <c r="J11" s="118">
        <v>50</v>
      </c>
    </row>
    <row r="12" spans="1:14" x14ac:dyDescent="0.15">
      <c r="A12" s="6">
        <v>8</v>
      </c>
      <c r="B12" s="7">
        <v>12.8</v>
      </c>
      <c r="C12" s="8">
        <v>25</v>
      </c>
      <c r="D12" s="9">
        <v>176</v>
      </c>
      <c r="E12" s="7">
        <v>88.5</v>
      </c>
      <c r="F12" s="7">
        <v>60</v>
      </c>
      <c r="G12" s="101">
        <f t="shared" si="0"/>
        <v>0</v>
      </c>
    </row>
    <row r="13" spans="1:14" x14ac:dyDescent="0.15">
      <c r="A13" s="6">
        <v>9</v>
      </c>
      <c r="B13" s="7">
        <v>5.0999999999999996</v>
      </c>
      <c r="C13" s="8">
        <v>25</v>
      </c>
      <c r="D13" s="9">
        <v>191</v>
      </c>
      <c r="E13" s="7">
        <v>82.5</v>
      </c>
      <c r="F13" s="7">
        <v>62.9</v>
      </c>
      <c r="G13" s="101">
        <f t="shared" si="0"/>
        <v>0</v>
      </c>
      <c r="I13" t="s">
        <v>20</v>
      </c>
    </row>
    <row r="14" spans="1:14" x14ac:dyDescent="0.15">
      <c r="A14" s="6">
        <v>10</v>
      </c>
      <c r="B14" s="7">
        <v>12</v>
      </c>
      <c r="C14" s="8">
        <v>23</v>
      </c>
      <c r="D14" s="9">
        <v>198.25</v>
      </c>
      <c r="E14" s="7">
        <v>88.6</v>
      </c>
      <c r="F14" s="7">
        <v>63.1</v>
      </c>
      <c r="G14" s="101">
        <f t="shared" si="0"/>
        <v>0</v>
      </c>
      <c r="I14" s="178"/>
      <c r="J14" s="178" t="s">
        <v>21</v>
      </c>
      <c r="K14" s="178" t="s">
        <v>22</v>
      </c>
      <c r="L14" s="178" t="s">
        <v>23</v>
      </c>
      <c r="M14" s="178" t="s">
        <v>24</v>
      </c>
      <c r="N14" s="178" t="s">
        <v>25</v>
      </c>
    </row>
    <row r="15" spans="1:14" x14ac:dyDescent="0.15">
      <c r="A15" s="6">
        <v>11</v>
      </c>
      <c r="B15" s="7">
        <v>7.5</v>
      </c>
      <c r="C15" s="8">
        <v>26</v>
      </c>
      <c r="D15" s="9">
        <v>186.25</v>
      </c>
      <c r="E15" s="7">
        <v>83.6</v>
      </c>
      <c r="F15" s="7">
        <v>59.7</v>
      </c>
      <c r="G15" s="101">
        <f t="shared" si="0"/>
        <v>0</v>
      </c>
      <c r="I15" t="s">
        <v>26</v>
      </c>
      <c r="J15">
        <v>4</v>
      </c>
      <c r="K15">
        <v>3398.9898967704698</v>
      </c>
      <c r="L15">
        <v>849.74747419261701</v>
      </c>
      <c r="M15">
        <v>59.557758751516801</v>
      </c>
      <c r="N15">
        <v>0</v>
      </c>
    </row>
    <row r="16" spans="1:14" x14ac:dyDescent="0.15">
      <c r="A16" s="6">
        <v>12</v>
      </c>
      <c r="B16" s="7">
        <v>8.5</v>
      </c>
      <c r="C16" s="8">
        <v>27</v>
      </c>
      <c r="D16" s="9">
        <v>216</v>
      </c>
      <c r="E16" s="7">
        <v>90.9</v>
      </c>
      <c r="F16" s="7">
        <v>66.2</v>
      </c>
      <c r="G16" s="101">
        <f>IF(C16&gt;30,1,0)</f>
        <v>0</v>
      </c>
      <c r="I16" t="s">
        <v>27</v>
      </c>
      <c r="J16">
        <v>45</v>
      </c>
      <c r="K16">
        <v>642.04290322952897</v>
      </c>
      <c r="L16">
        <v>14.267620071767301</v>
      </c>
    </row>
    <row r="17" spans="1:17" x14ac:dyDescent="0.15">
      <c r="A17" s="6">
        <v>13</v>
      </c>
      <c r="B17" s="7">
        <v>20.5</v>
      </c>
      <c r="C17" s="8">
        <v>32</v>
      </c>
      <c r="D17" s="9">
        <v>180.5</v>
      </c>
      <c r="E17" s="7">
        <v>91.6</v>
      </c>
      <c r="F17" s="7">
        <v>63.4</v>
      </c>
      <c r="G17" s="101">
        <f t="shared" si="0"/>
        <v>1</v>
      </c>
      <c r="I17" s="118" t="s">
        <v>28</v>
      </c>
      <c r="J17" s="118">
        <v>49</v>
      </c>
      <c r="K17" s="118">
        <v>4041.0328</v>
      </c>
      <c r="L17" s="118"/>
      <c r="M17" s="118"/>
      <c r="N17" s="118"/>
    </row>
    <row r="18" spans="1:17" x14ac:dyDescent="0.15">
      <c r="A18" s="6">
        <v>14</v>
      </c>
      <c r="B18" s="7">
        <v>20.8</v>
      </c>
      <c r="C18" s="8">
        <v>30</v>
      </c>
      <c r="D18" s="9">
        <v>205.25</v>
      </c>
      <c r="E18" s="7">
        <v>101.8</v>
      </c>
      <c r="F18" s="7">
        <v>66</v>
      </c>
      <c r="G18" s="101">
        <f t="shared" si="0"/>
        <v>0</v>
      </c>
    </row>
    <row r="19" spans="1:17" x14ac:dyDescent="0.15">
      <c r="A19" s="6">
        <v>15</v>
      </c>
      <c r="B19" s="7">
        <v>21.7</v>
      </c>
      <c r="C19" s="8">
        <v>35</v>
      </c>
      <c r="D19" s="9">
        <v>187.75</v>
      </c>
      <c r="E19" s="7">
        <v>96.4</v>
      </c>
      <c r="F19" s="7">
        <v>69</v>
      </c>
      <c r="G19" s="101">
        <f t="shared" si="0"/>
        <v>1</v>
      </c>
      <c r="I19" s="178"/>
      <c r="J19" s="178" t="s">
        <v>29</v>
      </c>
      <c r="K19" s="178" t="s">
        <v>18</v>
      </c>
      <c r="L19" s="178" t="s">
        <v>30</v>
      </c>
      <c r="M19" s="178" t="s">
        <v>31</v>
      </c>
      <c r="N19" s="178" t="s">
        <v>32</v>
      </c>
      <c r="O19" s="178" t="s">
        <v>33</v>
      </c>
      <c r="P19" s="178" t="s">
        <v>32</v>
      </c>
      <c r="Q19" s="178" t="s">
        <v>33</v>
      </c>
    </row>
    <row r="20" spans="1:17" x14ac:dyDescent="0.15">
      <c r="A20" s="6">
        <v>16</v>
      </c>
      <c r="B20" s="7">
        <v>20.5</v>
      </c>
      <c r="C20" s="8">
        <v>35</v>
      </c>
      <c r="D20" s="9">
        <v>162.75</v>
      </c>
      <c r="E20" s="7">
        <v>92.8</v>
      </c>
      <c r="F20" s="7">
        <v>63.1</v>
      </c>
      <c r="G20" s="101">
        <f t="shared" si="0"/>
        <v>1</v>
      </c>
      <c r="I20" t="s">
        <v>36</v>
      </c>
      <c r="J20">
        <v>-58.008532097022503</v>
      </c>
      <c r="K20">
        <v>8.0766445231034698</v>
      </c>
      <c r="L20">
        <v>-7.1822564347220501</v>
      </c>
      <c r="M20" s="91">
        <v>5.4728824892096599E-9</v>
      </c>
      <c r="N20">
        <v>-74.275728962850295</v>
      </c>
      <c r="O20">
        <v>-41.741335231194697</v>
      </c>
      <c r="P20">
        <v>-74.275728962850295</v>
      </c>
      <c r="Q20">
        <v>-41.741335231194697</v>
      </c>
    </row>
    <row r="21" spans="1:17" x14ac:dyDescent="0.15">
      <c r="A21" s="6">
        <v>17</v>
      </c>
      <c r="B21" s="7">
        <v>28.1</v>
      </c>
      <c r="C21" s="8">
        <v>34</v>
      </c>
      <c r="D21" s="9">
        <v>195.75</v>
      </c>
      <c r="E21" s="7">
        <v>96.4</v>
      </c>
      <c r="F21" s="7">
        <v>64.8</v>
      </c>
      <c r="G21" s="101">
        <f t="shared" si="0"/>
        <v>1</v>
      </c>
      <c r="I21" t="s">
        <v>4</v>
      </c>
      <c r="J21">
        <v>-0.25712169445793198</v>
      </c>
      <c r="K21">
        <v>4.5694492872223602E-2</v>
      </c>
      <c r="L21">
        <v>-5.6269733680364098</v>
      </c>
      <c r="M21">
        <v>1.1136898861553401E-6</v>
      </c>
      <c r="N21">
        <v>-0.34915512605323501</v>
      </c>
      <c r="O21">
        <v>-0.16508826286262801</v>
      </c>
      <c r="P21">
        <v>-0.34915512605323501</v>
      </c>
      <c r="Q21">
        <v>-0.16508826286262801</v>
      </c>
    </row>
    <row r="22" spans="1:17" x14ac:dyDescent="0.15">
      <c r="A22" s="6">
        <v>18</v>
      </c>
      <c r="B22" s="7">
        <v>22.4</v>
      </c>
      <c r="C22" s="8">
        <v>32</v>
      </c>
      <c r="D22" s="9">
        <v>209.25</v>
      </c>
      <c r="E22" s="7">
        <v>97.5</v>
      </c>
      <c r="F22" s="7">
        <v>66.900000000000006</v>
      </c>
      <c r="G22" s="101">
        <f t="shared" si="0"/>
        <v>1</v>
      </c>
      <c r="I22" t="s">
        <v>8</v>
      </c>
      <c r="J22">
        <v>0.86263339550187901</v>
      </c>
      <c r="K22">
        <v>0.10484100786678199</v>
      </c>
      <c r="L22">
        <v>8.22801509689792</v>
      </c>
      <c r="M22" s="91">
        <v>1.6092158706593399E-10</v>
      </c>
      <c r="N22">
        <v>0.65147276936534304</v>
      </c>
      <c r="O22">
        <v>1.0737940216384101</v>
      </c>
      <c r="P22">
        <v>0.65147276936534304</v>
      </c>
      <c r="Q22">
        <v>1.0737940216384101</v>
      </c>
    </row>
    <row r="23" spans="1:17" x14ac:dyDescent="0.15">
      <c r="A23" s="6">
        <v>19</v>
      </c>
      <c r="B23" s="7">
        <v>16.100000000000001</v>
      </c>
      <c r="C23" s="8">
        <v>28</v>
      </c>
      <c r="D23" s="9">
        <v>183.75</v>
      </c>
      <c r="E23" s="7">
        <v>89.6</v>
      </c>
      <c r="F23" s="7">
        <v>64.2</v>
      </c>
      <c r="G23" s="101">
        <f t="shared" si="0"/>
        <v>0</v>
      </c>
      <c r="I23" t="s">
        <v>10</v>
      </c>
      <c r="J23">
        <v>0.68575689288463004</v>
      </c>
      <c r="K23">
        <v>0.23766577804293099</v>
      </c>
      <c r="L23">
        <v>2.8853834091366601</v>
      </c>
      <c r="M23">
        <v>5.9824042286156596E-3</v>
      </c>
      <c r="N23">
        <v>0.20707345093850499</v>
      </c>
      <c r="O23">
        <v>1.1644403348307499</v>
      </c>
      <c r="P23">
        <v>0.20707345093850499</v>
      </c>
      <c r="Q23">
        <v>1.1644403348307499</v>
      </c>
    </row>
    <row r="24" spans="1:17" x14ac:dyDescent="0.15">
      <c r="A24" s="6">
        <v>20</v>
      </c>
      <c r="B24" s="7">
        <v>16.5</v>
      </c>
      <c r="C24" s="8">
        <v>33</v>
      </c>
      <c r="D24" s="9">
        <v>211.75</v>
      </c>
      <c r="E24" s="7">
        <v>100.5</v>
      </c>
      <c r="F24" s="7">
        <v>65.8</v>
      </c>
      <c r="G24" s="101">
        <f t="shared" si="0"/>
        <v>1</v>
      </c>
      <c r="I24" s="146" t="s">
        <v>3</v>
      </c>
      <c r="J24" s="118">
        <v>2.3333804805859901</v>
      </c>
      <c r="K24" s="118">
        <v>1.20214606801913</v>
      </c>
      <c r="L24" s="118">
        <v>1.94101244654143</v>
      </c>
      <c r="M24" s="146">
        <v>5.8535724606064501E-2</v>
      </c>
      <c r="N24" s="118">
        <v>-8.7865953376644601E-2</v>
      </c>
      <c r="O24" s="118">
        <v>4.7546269145486297</v>
      </c>
      <c r="P24" s="118">
        <v>-8.7865953376644601E-2</v>
      </c>
      <c r="Q24" s="118">
        <v>4.7546269145486297</v>
      </c>
    </row>
    <row r="25" spans="1:17" x14ac:dyDescent="0.15">
      <c r="A25" s="6">
        <v>21</v>
      </c>
      <c r="B25" s="7">
        <v>19</v>
      </c>
      <c r="C25" s="8">
        <v>28</v>
      </c>
      <c r="D25" s="9">
        <v>179</v>
      </c>
      <c r="E25" s="7">
        <v>95.9</v>
      </c>
      <c r="F25" s="7">
        <v>63.5</v>
      </c>
      <c r="G25" s="101">
        <f t="shared" si="0"/>
        <v>0</v>
      </c>
    </row>
    <row r="26" spans="1:17" x14ac:dyDescent="0.15">
      <c r="A26" s="6">
        <v>22</v>
      </c>
      <c r="B26" s="7">
        <v>15.3</v>
      </c>
      <c r="C26" s="8">
        <v>28</v>
      </c>
      <c r="D26" s="9">
        <v>200.5</v>
      </c>
      <c r="E26" s="7">
        <v>98.8</v>
      </c>
      <c r="F26" s="7">
        <v>63.4</v>
      </c>
      <c r="G26" s="101">
        <f t="shared" si="0"/>
        <v>0</v>
      </c>
    </row>
    <row r="27" spans="1:17" x14ac:dyDescent="0.15">
      <c r="A27" s="6">
        <v>23</v>
      </c>
      <c r="B27" s="7">
        <v>15.7</v>
      </c>
      <c r="C27" s="8">
        <v>31</v>
      </c>
      <c r="D27" s="9">
        <v>140.25</v>
      </c>
      <c r="E27" s="7">
        <v>76.400000000000006</v>
      </c>
      <c r="F27" s="7">
        <v>57.4</v>
      </c>
      <c r="G27" s="101">
        <f t="shared" si="0"/>
        <v>1</v>
      </c>
      <c r="I27" s="127" t="s">
        <v>64</v>
      </c>
    </row>
    <row r="28" spans="1:17" x14ac:dyDescent="0.15">
      <c r="A28" s="6">
        <v>24</v>
      </c>
      <c r="B28" s="7">
        <v>17.600000000000001</v>
      </c>
      <c r="C28" s="8">
        <v>32</v>
      </c>
      <c r="D28" s="9">
        <v>148.75</v>
      </c>
      <c r="E28" s="7">
        <v>80</v>
      </c>
      <c r="F28" s="7">
        <v>54.9</v>
      </c>
      <c r="G28" s="101">
        <f t="shared" si="0"/>
        <v>1</v>
      </c>
    </row>
    <row r="29" spans="1:17" x14ac:dyDescent="0.15">
      <c r="A29" s="6">
        <v>25</v>
      </c>
      <c r="B29" s="7">
        <v>14.2</v>
      </c>
      <c r="C29" s="8">
        <v>28</v>
      </c>
      <c r="D29" s="9">
        <v>151.25</v>
      </c>
      <c r="E29" s="7">
        <v>76.3</v>
      </c>
      <c r="F29" s="7">
        <v>58.4</v>
      </c>
      <c r="G29" s="101">
        <f t="shared" si="0"/>
        <v>0</v>
      </c>
    </row>
    <row r="30" spans="1:17" x14ac:dyDescent="0.15">
      <c r="A30" s="6">
        <v>26</v>
      </c>
      <c r="B30" s="7">
        <v>4.5999999999999996</v>
      </c>
      <c r="C30" s="8">
        <v>27</v>
      </c>
      <c r="D30" s="9">
        <v>159.25</v>
      </c>
      <c r="E30" s="7">
        <v>79.7</v>
      </c>
      <c r="F30" s="7">
        <v>55</v>
      </c>
      <c r="G30" s="101">
        <f t="shared" si="0"/>
        <v>0</v>
      </c>
    </row>
    <row r="31" spans="1:17" x14ac:dyDescent="0.15">
      <c r="A31" s="6">
        <v>27</v>
      </c>
      <c r="B31" s="7">
        <v>8.5</v>
      </c>
      <c r="C31" s="8">
        <v>34</v>
      </c>
      <c r="D31" s="9">
        <v>131.5</v>
      </c>
      <c r="E31" s="7">
        <v>74.599999999999994</v>
      </c>
      <c r="F31" s="7">
        <v>51.7</v>
      </c>
      <c r="G31" s="101">
        <f t="shared" si="0"/>
        <v>1</v>
      </c>
    </row>
    <row r="32" spans="1:17" x14ac:dyDescent="0.15">
      <c r="A32" s="6">
        <v>28</v>
      </c>
      <c r="B32" s="7">
        <v>22.4</v>
      </c>
      <c r="C32" s="8">
        <v>31</v>
      </c>
      <c r="D32" s="9">
        <v>148</v>
      </c>
      <c r="E32" s="7">
        <v>88.7</v>
      </c>
      <c r="F32" s="7">
        <v>57.5</v>
      </c>
      <c r="G32" s="101">
        <f t="shared" si="0"/>
        <v>1</v>
      </c>
    </row>
    <row r="33" spans="1:7" x14ac:dyDescent="0.15">
      <c r="A33" s="6">
        <v>29</v>
      </c>
      <c r="B33" s="7">
        <v>4.7</v>
      </c>
      <c r="C33" s="8">
        <v>27</v>
      </c>
      <c r="D33" s="9">
        <v>133.25</v>
      </c>
      <c r="E33" s="7">
        <v>73.900000000000006</v>
      </c>
      <c r="F33" s="7">
        <v>50.1</v>
      </c>
      <c r="G33" s="101">
        <f t="shared" si="0"/>
        <v>0</v>
      </c>
    </row>
    <row r="34" spans="1:7" x14ac:dyDescent="0.15">
      <c r="A34" s="6">
        <v>30</v>
      </c>
      <c r="B34" s="7">
        <v>9.4</v>
      </c>
      <c r="C34" s="8">
        <v>29</v>
      </c>
      <c r="D34" s="9">
        <v>160.75</v>
      </c>
      <c r="E34" s="7">
        <v>83.5</v>
      </c>
      <c r="F34" s="7">
        <v>58.9</v>
      </c>
      <c r="G34" s="101">
        <f t="shared" si="0"/>
        <v>0</v>
      </c>
    </row>
    <row r="35" spans="1:7" x14ac:dyDescent="0.15">
      <c r="A35" s="6">
        <v>31</v>
      </c>
      <c r="B35" s="7">
        <v>12.3</v>
      </c>
      <c r="C35" s="8">
        <v>32</v>
      </c>
      <c r="D35" s="9">
        <v>182</v>
      </c>
      <c r="E35" s="7">
        <v>88.7</v>
      </c>
      <c r="F35" s="7">
        <v>57.5</v>
      </c>
      <c r="G35" s="101">
        <f t="shared" si="0"/>
        <v>1</v>
      </c>
    </row>
    <row r="36" spans="1:7" x14ac:dyDescent="0.15">
      <c r="A36" s="6">
        <v>32</v>
      </c>
      <c r="B36" s="7">
        <v>6.5</v>
      </c>
      <c r="C36" s="8">
        <v>29</v>
      </c>
      <c r="D36" s="9">
        <v>160.25</v>
      </c>
      <c r="E36" s="7">
        <v>84.5</v>
      </c>
      <c r="F36" s="7">
        <v>58.5</v>
      </c>
      <c r="G36" s="101">
        <f t="shared" si="0"/>
        <v>0</v>
      </c>
    </row>
    <row r="37" spans="1:7" x14ac:dyDescent="0.15">
      <c r="A37" s="6">
        <v>33</v>
      </c>
      <c r="B37" s="7">
        <v>13.4</v>
      </c>
      <c r="C37" s="8">
        <v>27</v>
      </c>
      <c r="D37" s="9">
        <v>168</v>
      </c>
      <c r="E37" s="7">
        <v>79.099999999999994</v>
      </c>
      <c r="F37" s="7">
        <v>57.3</v>
      </c>
      <c r="G37" s="101">
        <f t="shared" si="0"/>
        <v>0</v>
      </c>
    </row>
    <row r="38" spans="1:7" x14ac:dyDescent="0.15">
      <c r="A38" s="6">
        <v>34</v>
      </c>
      <c r="B38" s="7">
        <v>20.9</v>
      </c>
      <c r="C38" s="8">
        <v>41</v>
      </c>
      <c r="D38" s="9">
        <v>218.5</v>
      </c>
      <c r="E38" s="7">
        <v>100.5</v>
      </c>
      <c r="F38" s="7">
        <v>67.099999999999994</v>
      </c>
      <c r="G38" s="101">
        <f t="shared" si="0"/>
        <v>1</v>
      </c>
    </row>
    <row r="39" spans="1:7" x14ac:dyDescent="0.15">
      <c r="A39" s="6">
        <v>35</v>
      </c>
      <c r="B39" s="7">
        <v>31.1</v>
      </c>
      <c r="C39" s="8">
        <v>41</v>
      </c>
      <c r="D39" s="9">
        <v>247.25</v>
      </c>
      <c r="E39" s="7">
        <v>115.6</v>
      </c>
      <c r="F39" s="7">
        <v>71.2</v>
      </c>
      <c r="G39" s="101">
        <f t="shared" si="0"/>
        <v>1</v>
      </c>
    </row>
    <row r="40" spans="1:7" x14ac:dyDescent="0.15">
      <c r="A40" s="6">
        <v>36</v>
      </c>
      <c r="B40" s="7">
        <v>38.200000000000003</v>
      </c>
      <c r="C40" s="8">
        <v>49</v>
      </c>
      <c r="D40" s="9">
        <v>191.75</v>
      </c>
      <c r="E40" s="7">
        <v>113.1</v>
      </c>
      <c r="F40" s="7">
        <v>61.9</v>
      </c>
      <c r="G40" s="101">
        <f t="shared" si="0"/>
        <v>1</v>
      </c>
    </row>
    <row r="41" spans="1:7" x14ac:dyDescent="0.15">
      <c r="A41" s="6">
        <v>37</v>
      </c>
      <c r="B41" s="7">
        <v>23.6</v>
      </c>
      <c r="C41" s="8">
        <v>40</v>
      </c>
      <c r="D41" s="9">
        <v>202.25</v>
      </c>
      <c r="E41" s="7">
        <v>100.9</v>
      </c>
      <c r="F41" s="7">
        <v>63.5</v>
      </c>
      <c r="G41" s="101">
        <f t="shared" si="0"/>
        <v>1</v>
      </c>
    </row>
    <row r="42" spans="1:7" x14ac:dyDescent="0.15">
      <c r="A42" s="6">
        <v>38</v>
      </c>
      <c r="B42" s="7">
        <v>27.5</v>
      </c>
      <c r="C42" s="8">
        <v>50</v>
      </c>
      <c r="D42" s="9">
        <v>196.75</v>
      </c>
      <c r="E42" s="7">
        <v>98.8</v>
      </c>
      <c r="F42" s="7">
        <v>66</v>
      </c>
      <c r="G42" s="101">
        <f t="shared" si="0"/>
        <v>1</v>
      </c>
    </row>
    <row r="43" spans="1:7" x14ac:dyDescent="0.15">
      <c r="A43" s="6">
        <v>39</v>
      </c>
      <c r="B43" s="7">
        <v>33.799999999999997</v>
      </c>
      <c r="C43" s="8">
        <v>46</v>
      </c>
      <c r="D43" s="9">
        <v>363.15</v>
      </c>
      <c r="E43" s="7">
        <v>148.1</v>
      </c>
      <c r="F43" s="7">
        <v>87.3</v>
      </c>
      <c r="G43" s="101">
        <f t="shared" si="0"/>
        <v>1</v>
      </c>
    </row>
    <row r="44" spans="1:7" x14ac:dyDescent="0.15">
      <c r="A44" s="6">
        <v>40</v>
      </c>
      <c r="B44" s="7">
        <v>31.3</v>
      </c>
      <c r="C44" s="8">
        <v>50</v>
      </c>
      <c r="D44" s="9">
        <v>203</v>
      </c>
      <c r="E44" s="7">
        <v>108.1</v>
      </c>
      <c r="F44" s="7">
        <v>61.3</v>
      </c>
      <c r="G44" s="101">
        <f t="shared" si="0"/>
        <v>1</v>
      </c>
    </row>
    <row r="45" spans="1:7" x14ac:dyDescent="0.15">
      <c r="A45" s="6">
        <v>41</v>
      </c>
      <c r="B45" s="7">
        <v>33.1</v>
      </c>
      <c r="C45" s="8">
        <v>45</v>
      </c>
      <c r="D45" s="9">
        <v>262.75</v>
      </c>
      <c r="E45" s="7">
        <v>126.2</v>
      </c>
      <c r="F45" s="7">
        <v>72.5</v>
      </c>
      <c r="G45" s="101">
        <f t="shared" si="0"/>
        <v>1</v>
      </c>
    </row>
    <row r="46" spans="1:7" x14ac:dyDescent="0.15">
      <c r="A46" s="6">
        <v>42</v>
      </c>
      <c r="B46" s="7">
        <v>31.7</v>
      </c>
      <c r="C46" s="8">
        <v>44</v>
      </c>
      <c r="D46" s="9">
        <v>205</v>
      </c>
      <c r="E46" s="7">
        <v>104.3</v>
      </c>
      <c r="F46" s="7">
        <v>70.599999999999994</v>
      </c>
      <c r="G46" s="101">
        <f t="shared" si="0"/>
        <v>1</v>
      </c>
    </row>
    <row r="47" spans="1:7" x14ac:dyDescent="0.15">
      <c r="A47" s="6">
        <v>43</v>
      </c>
      <c r="B47" s="7">
        <v>30.4</v>
      </c>
      <c r="C47" s="8">
        <v>48</v>
      </c>
      <c r="D47" s="9">
        <v>217</v>
      </c>
      <c r="E47" s="7">
        <v>111.2</v>
      </c>
      <c r="F47" s="7">
        <v>67.7</v>
      </c>
      <c r="G47" s="101">
        <f t="shared" si="0"/>
        <v>1</v>
      </c>
    </row>
    <row r="48" spans="1:7" x14ac:dyDescent="0.15">
      <c r="A48" s="6">
        <v>44</v>
      </c>
      <c r="B48" s="7">
        <v>30.8</v>
      </c>
      <c r="C48" s="8">
        <v>41</v>
      </c>
      <c r="D48" s="9">
        <v>212</v>
      </c>
      <c r="E48" s="7">
        <v>104.3</v>
      </c>
      <c r="F48" s="7">
        <v>65</v>
      </c>
      <c r="G48" s="101">
        <f t="shared" si="0"/>
        <v>1</v>
      </c>
    </row>
    <row r="49" spans="1:7" x14ac:dyDescent="0.15">
      <c r="A49" s="6">
        <v>45</v>
      </c>
      <c r="B49" s="7">
        <v>8.4</v>
      </c>
      <c r="C49" s="8">
        <v>39</v>
      </c>
      <c r="D49" s="9">
        <v>125.25</v>
      </c>
      <c r="E49" s="7">
        <v>76</v>
      </c>
      <c r="F49" s="7">
        <v>50</v>
      </c>
      <c r="G49" s="101">
        <f t="shared" si="0"/>
        <v>1</v>
      </c>
    </row>
    <row r="50" spans="1:7" x14ac:dyDescent="0.15">
      <c r="A50" s="6">
        <v>46</v>
      </c>
      <c r="B50" s="7">
        <v>14.1</v>
      </c>
      <c r="C50" s="8">
        <v>43</v>
      </c>
      <c r="D50" s="9">
        <v>164.25</v>
      </c>
      <c r="E50" s="7">
        <v>81.5</v>
      </c>
      <c r="F50" s="7">
        <v>58.4</v>
      </c>
      <c r="G50" s="101">
        <f t="shared" si="0"/>
        <v>1</v>
      </c>
    </row>
    <row r="51" spans="1:7" x14ac:dyDescent="0.15">
      <c r="A51" s="6">
        <v>47</v>
      </c>
      <c r="B51" s="7">
        <v>11.2</v>
      </c>
      <c r="C51" s="8">
        <v>40</v>
      </c>
      <c r="D51" s="9">
        <v>133.5</v>
      </c>
      <c r="E51" s="7">
        <v>73.7</v>
      </c>
      <c r="F51" s="7">
        <v>53.3</v>
      </c>
      <c r="G51" s="101">
        <f t="shared" si="0"/>
        <v>1</v>
      </c>
    </row>
    <row r="52" spans="1:7" x14ac:dyDescent="0.15">
      <c r="A52" s="6">
        <v>48</v>
      </c>
      <c r="B52" s="7">
        <v>6.4</v>
      </c>
      <c r="C52" s="8">
        <v>39</v>
      </c>
      <c r="D52" s="9">
        <v>148.5</v>
      </c>
      <c r="E52" s="7">
        <v>79.5</v>
      </c>
      <c r="F52" s="7">
        <v>52.7</v>
      </c>
      <c r="G52" s="101">
        <f t="shared" si="0"/>
        <v>1</v>
      </c>
    </row>
    <row r="53" spans="1:7" x14ac:dyDescent="0.15">
      <c r="A53" s="6">
        <v>49</v>
      </c>
      <c r="B53" s="7">
        <v>13.4</v>
      </c>
      <c r="C53" s="8">
        <v>45</v>
      </c>
      <c r="D53" s="9">
        <v>135.75</v>
      </c>
      <c r="E53" s="7">
        <v>83.4</v>
      </c>
      <c r="F53" s="7">
        <v>52</v>
      </c>
      <c r="G53" s="101">
        <f t="shared" si="0"/>
        <v>1</v>
      </c>
    </row>
    <row r="54" spans="1:7" x14ac:dyDescent="0.15">
      <c r="A54" s="11">
        <v>50</v>
      </c>
      <c r="B54" s="12">
        <v>5</v>
      </c>
      <c r="C54" s="134">
        <v>47</v>
      </c>
      <c r="D54" s="133">
        <v>127.5</v>
      </c>
      <c r="E54" s="12">
        <v>70.400000000000006</v>
      </c>
      <c r="F54" s="12">
        <v>50.6</v>
      </c>
      <c r="G54" s="101">
        <f t="shared" si="0"/>
        <v>1</v>
      </c>
    </row>
  </sheetData>
  <mergeCells count="1">
    <mergeCell ref="I6:J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3E66-1576-41EE-A79E-01323653FC9F}">
  <dimension ref="A2:O54"/>
  <sheetViews>
    <sheetView topLeftCell="G2" workbookViewId="0">
      <selection activeCell="N24" sqref="N24"/>
    </sheetView>
  </sheetViews>
  <sheetFormatPr baseColWidth="10" defaultColWidth="8.83203125" defaultRowHeight="13" x14ac:dyDescent="0.15"/>
  <cols>
    <col min="7" max="7" width="19.1640625" bestFit="1" customWidth="1"/>
    <col min="8" max="8" width="15.1640625" customWidth="1"/>
    <col min="9" max="10" width="17.5" customWidth="1"/>
    <col min="11" max="11" width="16" customWidth="1"/>
    <col min="12" max="12" width="19.6640625" customWidth="1"/>
    <col min="13" max="13" width="16.83203125" customWidth="1"/>
    <col min="14" max="14" width="16.1640625" customWidth="1"/>
    <col min="15" max="15" width="16.33203125" customWidth="1"/>
  </cols>
  <sheetData>
    <row r="2" spans="1:12" ht="16" x14ac:dyDescent="0.2">
      <c r="A2" s="16" t="s">
        <v>0</v>
      </c>
    </row>
    <row r="4" spans="1:12" x14ac:dyDescent="0.15">
      <c r="A4" s="17" t="s">
        <v>1</v>
      </c>
      <c r="B4" s="18" t="s">
        <v>2</v>
      </c>
      <c r="C4" s="18" t="s">
        <v>4</v>
      </c>
      <c r="D4" s="18" t="s">
        <v>8</v>
      </c>
      <c r="E4" s="18" t="s">
        <v>10</v>
      </c>
      <c r="G4" t="s">
        <v>12</v>
      </c>
    </row>
    <row r="5" spans="1:12" x14ac:dyDescent="0.15">
      <c r="A5" s="1">
        <v>1</v>
      </c>
      <c r="B5" s="2">
        <v>12.6</v>
      </c>
      <c r="C5" s="4">
        <v>154.25</v>
      </c>
      <c r="D5" s="2">
        <v>85.2</v>
      </c>
      <c r="E5" s="2">
        <v>59</v>
      </c>
    </row>
    <row r="6" spans="1:12" x14ac:dyDescent="0.15">
      <c r="A6" s="6">
        <v>2</v>
      </c>
      <c r="B6" s="7">
        <v>6.9</v>
      </c>
      <c r="C6" s="9">
        <v>173.25</v>
      </c>
      <c r="D6" s="7">
        <v>83</v>
      </c>
      <c r="E6" s="7">
        <v>58.7</v>
      </c>
      <c r="G6" s="249" t="s">
        <v>14</v>
      </c>
      <c r="H6" s="249"/>
    </row>
    <row r="7" spans="1:12" x14ac:dyDescent="0.15">
      <c r="A7" s="6">
        <v>3</v>
      </c>
      <c r="B7" s="7">
        <v>24.6</v>
      </c>
      <c r="C7" s="9">
        <v>154</v>
      </c>
      <c r="D7" s="7">
        <v>87.9</v>
      </c>
      <c r="E7" s="7">
        <v>59.6</v>
      </c>
      <c r="G7" t="s">
        <v>15</v>
      </c>
      <c r="H7">
        <v>0.90984456976382999</v>
      </c>
    </row>
    <row r="8" spans="1:12" x14ac:dyDescent="0.15">
      <c r="A8" s="6">
        <v>4</v>
      </c>
      <c r="B8" s="7">
        <v>10.9</v>
      </c>
      <c r="C8" s="9">
        <v>184.75</v>
      </c>
      <c r="D8" s="7">
        <v>86.4</v>
      </c>
      <c r="E8" s="7">
        <v>60.1</v>
      </c>
      <c r="G8" t="s">
        <v>16</v>
      </c>
      <c r="H8">
        <v>0.82781714112872895</v>
      </c>
    </row>
    <row r="9" spans="1:12" x14ac:dyDescent="0.15">
      <c r="A9" s="6">
        <v>5</v>
      </c>
      <c r="B9" s="7">
        <v>27.8</v>
      </c>
      <c r="C9" s="9">
        <v>184.25</v>
      </c>
      <c r="D9" s="7">
        <v>100</v>
      </c>
      <c r="E9" s="7">
        <v>63.2</v>
      </c>
      <c r="G9" t="s">
        <v>17</v>
      </c>
      <c r="H9" s="116">
        <v>0.81658782424581999</v>
      </c>
    </row>
    <row r="10" spans="1:12" x14ac:dyDescent="0.15">
      <c r="A10" s="6">
        <v>6</v>
      </c>
      <c r="B10" s="7">
        <v>20.6</v>
      </c>
      <c r="C10" s="9">
        <v>210.25</v>
      </c>
      <c r="D10" s="7">
        <v>94.4</v>
      </c>
      <c r="E10" s="7">
        <v>66</v>
      </c>
      <c r="G10" t="s">
        <v>18</v>
      </c>
      <c r="H10">
        <v>3.8892174810806002</v>
      </c>
    </row>
    <row r="11" spans="1:12" x14ac:dyDescent="0.15">
      <c r="A11" s="6">
        <v>7</v>
      </c>
      <c r="B11" s="7">
        <v>19</v>
      </c>
      <c r="C11" s="9">
        <v>181</v>
      </c>
      <c r="D11" s="7">
        <v>90.7</v>
      </c>
      <c r="E11" s="7">
        <v>58.4</v>
      </c>
      <c r="G11" s="118" t="s">
        <v>19</v>
      </c>
      <c r="H11" s="118">
        <v>50</v>
      </c>
    </row>
    <row r="12" spans="1:12" x14ac:dyDescent="0.15">
      <c r="A12" s="6">
        <v>8</v>
      </c>
      <c r="B12" s="7">
        <v>12.8</v>
      </c>
      <c r="C12" s="9">
        <v>176</v>
      </c>
      <c r="D12" s="7">
        <v>88.5</v>
      </c>
      <c r="E12" s="7">
        <v>60</v>
      </c>
    </row>
    <row r="13" spans="1:12" x14ac:dyDescent="0.15">
      <c r="A13" s="6">
        <v>9</v>
      </c>
      <c r="B13" s="7">
        <v>5.0999999999999996</v>
      </c>
      <c r="C13" s="9">
        <v>191</v>
      </c>
      <c r="D13" s="7">
        <v>82.5</v>
      </c>
      <c r="E13" s="7">
        <v>62.9</v>
      </c>
      <c r="G13" t="s">
        <v>20</v>
      </c>
    </row>
    <row r="14" spans="1:12" x14ac:dyDescent="0.15">
      <c r="A14" s="6">
        <v>10</v>
      </c>
      <c r="B14" s="7">
        <v>12</v>
      </c>
      <c r="C14" s="9">
        <v>198.25</v>
      </c>
      <c r="D14" s="7">
        <v>88.6</v>
      </c>
      <c r="E14" s="7">
        <v>63.1</v>
      </c>
      <c r="G14" s="178"/>
      <c r="H14" s="178" t="s">
        <v>21</v>
      </c>
      <c r="I14" s="178" t="s">
        <v>22</v>
      </c>
      <c r="J14" s="178" t="s">
        <v>23</v>
      </c>
      <c r="K14" s="178" t="s">
        <v>24</v>
      </c>
      <c r="L14" s="178" t="s">
        <v>25</v>
      </c>
    </row>
    <row r="15" spans="1:12" x14ac:dyDescent="0.15">
      <c r="A15" s="6">
        <v>11</v>
      </c>
      <c r="B15" s="7">
        <v>7.5</v>
      </c>
      <c r="C15" s="9">
        <v>186.25</v>
      </c>
      <c r="D15" s="7">
        <v>83.6</v>
      </c>
      <c r="E15" s="7">
        <v>59.7</v>
      </c>
      <c r="G15" t="s">
        <v>26</v>
      </c>
      <c r="H15">
        <v>3</v>
      </c>
      <c r="I15">
        <v>3345.2362197034199</v>
      </c>
      <c r="J15">
        <v>1115.0787399011399</v>
      </c>
      <c r="K15">
        <v>73.719278720210397</v>
      </c>
      <c r="L15">
        <v>0</v>
      </c>
    </row>
    <row r="16" spans="1:12" x14ac:dyDescent="0.15">
      <c r="A16" s="6">
        <v>12</v>
      </c>
      <c r="B16" s="7">
        <v>8.5</v>
      </c>
      <c r="C16" s="9">
        <v>216</v>
      </c>
      <c r="D16" s="7">
        <v>90.9</v>
      </c>
      <c r="E16" s="7">
        <v>66.2</v>
      </c>
      <c r="G16" t="s">
        <v>27</v>
      </c>
      <c r="H16">
        <v>46</v>
      </c>
      <c r="I16">
        <v>695.79658029657503</v>
      </c>
      <c r="J16">
        <v>15.1260126151429</v>
      </c>
    </row>
    <row r="17" spans="1:15" x14ac:dyDescent="0.15">
      <c r="A17" s="6">
        <v>13</v>
      </c>
      <c r="B17" s="7">
        <v>20.5</v>
      </c>
      <c r="C17" s="9">
        <v>180.5</v>
      </c>
      <c r="D17" s="7">
        <v>91.6</v>
      </c>
      <c r="E17" s="7">
        <v>63.4</v>
      </c>
      <c r="G17" s="118" t="s">
        <v>28</v>
      </c>
      <c r="H17" s="118">
        <v>49</v>
      </c>
      <c r="I17" s="118">
        <v>4041.0328</v>
      </c>
      <c r="J17" s="118"/>
      <c r="K17" s="118"/>
      <c r="L17" s="118"/>
    </row>
    <row r="18" spans="1:15" x14ac:dyDescent="0.15">
      <c r="A18" s="6">
        <v>14</v>
      </c>
      <c r="B18" s="7">
        <v>20.8</v>
      </c>
      <c r="C18" s="9">
        <v>205.25</v>
      </c>
      <c r="D18" s="7">
        <v>101.8</v>
      </c>
      <c r="E18" s="7">
        <v>66</v>
      </c>
    </row>
    <row r="19" spans="1:15" x14ac:dyDescent="0.15">
      <c r="A19" s="6">
        <v>15</v>
      </c>
      <c r="B19" s="7">
        <v>21.7</v>
      </c>
      <c r="C19" s="9">
        <v>187.75</v>
      </c>
      <c r="D19" s="7">
        <v>96.4</v>
      </c>
      <c r="E19" s="7">
        <v>69</v>
      </c>
      <c r="G19" s="117"/>
      <c r="H19" s="178" t="s">
        <v>29</v>
      </c>
      <c r="I19" s="178" t="s">
        <v>18</v>
      </c>
      <c r="J19" s="178" t="s">
        <v>30</v>
      </c>
      <c r="K19" s="178" t="s">
        <v>31</v>
      </c>
      <c r="L19" s="178" t="s">
        <v>32</v>
      </c>
      <c r="M19" s="178" t="s">
        <v>33</v>
      </c>
      <c r="N19" s="178" t="s">
        <v>32</v>
      </c>
      <c r="O19" s="178" t="s">
        <v>33</v>
      </c>
    </row>
    <row r="20" spans="1:15" x14ac:dyDescent="0.15">
      <c r="A20" s="6">
        <v>16</v>
      </c>
      <c r="B20" s="7">
        <v>20.5</v>
      </c>
      <c r="C20" s="9">
        <v>162.75</v>
      </c>
      <c r="D20" s="7">
        <v>92.8</v>
      </c>
      <c r="E20" s="7">
        <v>63.1</v>
      </c>
      <c r="G20" t="s">
        <v>36</v>
      </c>
      <c r="H20">
        <v>-59.0021211685116</v>
      </c>
      <c r="I20">
        <v>8.2993371257344908</v>
      </c>
      <c r="J20">
        <v>-7.1092570737436898</v>
      </c>
      <c r="K20" s="91">
        <v>6.2495058049340498E-9</v>
      </c>
      <c r="L20">
        <v>-75.707820080855498</v>
      </c>
      <c r="M20">
        <v>-42.296422256167702</v>
      </c>
      <c r="N20">
        <v>-75.707820080855498</v>
      </c>
      <c r="O20">
        <v>-42.296422256167702</v>
      </c>
    </row>
    <row r="21" spans="1:15" x14ac:dyDescent="0.15">
      <c r="A21" s="6">
        <v>17</v>
      </c>
      <c r="B21" s="7">
        <v>28.1</v>
      </c>
      <c r="C21" s="9">
        <v>195.75</v>
      </c>
      <c r="D21" s="7">
        <v>96.4</v>
      </c>
      <c r="E21" s="7">
        <v>64.8</v>
      </c>
      <c r="G21" s="127" t="s">
        <v>4</v>
      </c>
      <c r="H21" s="29">
        <v>-0.277079512184979</v>
      </c>
      <c r="I21">
        <v>4.5842381737092298E-2</v>
      </c>
      <c r="J21">
        <v>-6.0441779350392402</v>
      </c>
      <c r="K21" s="91">
        <v>2.4861440930084599E-7</v>
      </c>
      <c r="L21">
        <v>-0.36935543918039199</v>
      </c>
      <c r="M21">
        <v>-0.18480358518956599</v>
      </c>
      <c r="N21">
        <v>-0.36935543918039199</v>
      </c>
      <c r="O21">
        <v>-0.18480358518956599</v>
      </c>
    </row>
    <row r="22" spans="1:15" x14ac:dyDescent="0.15">
      <c r="A22" s="6">
        <v>18</v>
      </c>
      <c r="B22" s="7">
        <v>22.4</v>
      </c>
      <c r="C22" s="9">
        <v>209.25</v>
      </c>
      <c r="D22" s="7">
        <v>97.5</v>
      </c>
      <c r="E22" s="7">
        <v>66.900000000000006</v>
      </c>
      <c r="G22" s="127" t="s">
        <v>8</v>
      </c>
      <c r="H22" s="29">
        <v>0.95026655021258899</v>
      </c>
      <c r="I22">
        <v>9.7426598988481203E-2</v>
      </c>
      <c r="J22">
        <v>9.7536664532951498</v>
      </c>
      <c r="K22" s="91">
        <v>8.9428514418925698E-13</v>
      </c>
      <c r="L22">
        <v>0.75415698096657502</v>
      </c>
      <c r="M22">
        <v>1.1463761194586</v>
      </c>
      <c r="N22">
        <v>0.75415698096657502</v>
      </c>
      <c r="O22">
        <v>1.1463761194586</v>
      </c>
    </row>
    <row r="23" spans="1:15" x14ac:dyDescent="0.15">
      <c r="A23" s="6">
        <v>19</v>
      </c>
      <c r="B23" s="7">
        <v>16.100000000000001</v>
      </c>
      <c r="C23" s="9">
        <v>183.75</v>
      </c>
      <c r="D23" s="7">
        <v>89.6</v>
      </c>
      <c r="E23" s="7">
        <v>64.2</v>
      </c>
      <c r="G23" s="119" t="s">
        <v>10</v>
      </c>
      <c r="H23" s="177">
        <v>0.65142611239366399</v>
      </c>
      <c r="I23" s="118">
        <v>0.24403220304534801</v>
      </c>
      <c r="J23" s="118">
        <v>2.6694268390168601</v>
      </c>
      <c r="K23" s="118">
        <v>1.0463322971123699E-2</v>
      </c>
      <c r="L23" s="118">
        <v>0.160214772592743</v>
      </c>
      <c r="M23" s="118">
        <v>1.1426374521945799</v>
      </c>
      <c r="N23" s="118">
        <v>0.160214772592743</v>
      </c>
      <c r="O23" s="118">
        <v>1.1426374521945799</v>
      </c>
    </row>
    <row r="24" spans="1:15" x14ac:dyDescent="0.15">
      <c r="A24" s="6">
        <v>20</v>
      </c>
      <c r="B24" s="7">
        <v>16.5</v>
      </c>
      <c r="C24" s="9">
        <v>211.75</v>
      </c>
      <c r="D24" s="7">
        <v>100.5</v>
      </c>
      <c r="E24" s="7">
        <v>65.8</v>
      </c>
    </row>
    <row r="25" spans="1:15" x14ac:dyDescent="0.15">
      <c r="A25" s="6">
        <v>21</v>
      </c>
      <c r="B25" s="7">
        <v>19</v>
      </c>
      <c r="C25" s="9">
        <v>179</v>
      </c>
      <c r="D25" s="7">
        <v>95.9</v>
      </c>
      <c r="E25" s="7">
        <v>63.5</v>
      </c>
    </row>
    <row r="26" spans="1:15" x14ac:dyDescent="0.15">
      <c r="A26" s="6">
        <v>22</v>
      </c>
      <c r="B26" s="7">
        <v>15.3</v>
      </c>
      <c r="C26" s="9">
        <v>200.5</v>
      </c>
      <c r="D26" s="7">
        <v>98.8</v>
      </c>
      <c r="E26" s="7">
        <v>63.4</v>
      </c>
    </row>
    <row r="27" spans="1:15" x14ac:dyDescent="0.15">
      <c r="A27" s="6">
        <v>23</v>
      </c>
      <c r="B27" s="7">
        <v>15.7</v>
      </c>
      <c r="C27" s="9">
        <v>140.25</v>
      </c>
      <c r="D27" s="7">
        <v>76.400000000000006</v>
      </c>
      <c r="E27" s="7">
        <v>57.4</v>
      </c>
    </row>
    <row r="28" spans="1:15" x14ac:dyDescent="0.15">
      <c r="A28" s="6">
        <v>24</v>
      </c>
      <c r="B28" s="7">
        <v>17.600000000000001</v>
      </c>
      <c r="C28" s="9">
        <v>148.75</v>
      </c>
      <c r="D28" s="7">
        <v>80</v>
      </c>
      <c r="E28" s="7">
        <v>54.9</v>
      </c>
    </row>
    <row r="29" spans="1:15" x14ac:dyDescent="0.15">
      <c r="A29" s="6">
        <v>25</v>
      </c>
      <c r="B29" s="7">
        <v>14.2</v>
      </c>
      <c r="C29" s="9">
        <v>151.25</v>
      </c>
      <c r="D29" s="7">
        <v>76.3</v>
      </c>
      <c r="E29" s="7">
        <v>58.4</v>
      </c>
    </row>
    <row r="30" spans="1:15" x14ac:dyDescent="0.15">
      <c r="A30" s="6">
        <v>26</v>
      </c>
      <c r="B30" s="7">
        <v>4.5999999999999996</v>
      </c>
      <c r="C30" s="9">
        <v>159.25</v>
      </c>
      <c r="D30" s="7">
        <v>79.7</v>
      </c>
      <c r="E30" s="7">
        <v>55</v>
      </c>
    </row>
    <row r="31" spans="1:15" x14ac:dyDescent="0.15">
      <c r="A31" s="6">
        <v>27</v>
      </c>
      <c r="B31" s="7">
        <v>8.5</v>
      </c>
      <c r="C31" s="9">
        <v>131.5</v>
      </c>
      <c r="D31" s="7">
        <v>74.599999999999994</v>
      </c>
      <c r="E31" s="7">
        <v>51.7</v>
      </c>
    </row>
    <row r="32" spans="1:15" x14ac:dyDescent="0.15">
      <c r="A32" s="6">
        <v>28</v>
      </c>
      <c r="B32" s="7">
        <v>22.4</v>
      </c>
      <c r="C32" s="9">
        <v>148</v>
      </c>
      <c r="D32" s="7">
        <v>88.7</v>
      </c>
      <c r="E32" s="7">
        <v>57.5</v>
      </c>
    </row>
    <row r="33" spans="1:5" x14ac:dyDescent="0.15">
      <c r="A33" s="6">
        <v>29</v>
      </c>
      <c r="B33" s="7">
        <v>4.7</v>
      </c>
      <c r="C33" s="9">
        <v>133.25</v>
      </c>
      <c r="D33" s="7">
        <v>73.900000000000006</v>
      </c>
      <c r="E33" s="7">
        <v>50.1</v>
      </c>
    </row>
    <row r="34" spans="1:5" x14ac:dyDescent="0.15">
      <c r="A34" s="6">
        <v>30</v>
      </c>
      <c r="B34" s="7">
        <v>9.4</v>
      </c>
      <c r="C34" s="9">
        <v>160.75</v>
      </c>
      <c r="D34" s="7">
        <v>83.5</v>
      </c>
      <c r="E34" s="7">
        <v>58.9</v>
      </c>
    </row>
    <row r="35" spans="1:5" x14ac:dyDescent="0.15">
      <c r="A35" s="6">
        <v>31</v>
      </c>
      <c r="B35" s="7">
        <v>12.3</v>
      </c>
      <c r="C35" s="9">
        <v>182</v>
      </c>
      <c r="D35" s="7">
        <v>88.7</v>
      </c>
      <c r="E35" s="7">
        <v>57.5</v>
      </c>
    </row>
    <row r="36" spans="1:5" x14ac:dyDescent="0.15">
      <c r="A36" s="6">
        <v>32</v>
      </c>
      <c r="B36" s="7">
        <v>6.5</v>
      </c>
      <c r="C36" s="9">
        <v>160.25</v>
      </c>
      <c r="D36" s="7">
        <v>84.5</v>
      </c>
      <c r="E36" s="7">
        <v>58.5</v>
      </c>
    </row>
    <row r="37" spans="1:5" x14ac:dyDescent="0.15">
      <c r="A37" s="6">
        <v>33</v>
      </c>
      <c r="B37" s="7">
        <v>13.4</v>
      </c>
      <c r="C37" s="9">
        <v>168</v>
      </c>
      <c r="D37" s="7">
        <v>79.099999999999994</v>
      </c>
      <c r="E37" s="7">
        <v>57.3</v>
      </c>
    </row>
    <row r="38" spans="1:5" x14ac:dyDescent="0.15">
      <c r="A38" s="6">
        <v>34</v>
      </c>
      <c r="B38" s="7">
        <v>20.9</v>
      </c>
      <c r="C38" s="9">
        <v>218.5</v>
      </c>
      <c r="D38" s="7">
        <v>100.5</v>
      </c>
      <c r="E38" s="7">
        <v>67.099999999999994</v>
      </c>
    </row>
    <row r="39" spans="1:5" x14ac:dyDescent="0.15">
      <c r="A39" s="6">
        <v>35</v>
      </c>
      <c r="B39" s="7">
        <v>31.1</v>
      </c>
      <c r="C39" s="9">
        <v>247.25</v>
      </c>
      <c r="D39" s="7">
        <v>115.6</v>
      </c>
      <c r="E39" s="7">
        <v>71.2</v>
      </c>
    </row>
    <row r="40" spans="1:5" x14ac:dyDescent="0.15">
      <c r="A40" s="6">
        <v>36</v>
      </c>
      <c r="B40" s="7">
        <v>38.200000000000003</v>
      </c>
      <c r="C40" s="9">
        <v>191.75</v>
      </c>
      <c r="D40" s="7">
        <v>113.1</v>
      </c>
      <c r="E40" s="7">
        <v>61.9</v>
      </c>
    </row>
    <row r="41" spans="1:5" x14ac:dyDescent="0.15">
      <c r="A41" s="6">
        <v>37</v>
      </c>
      <c r="B41" s="7">
        <v>23.6</v>
      </c>
      <c r="C41" s="9">
        <v>202.25</v>
      </c>
      <c r="D41" s="7">
        <v>100.9</v>
      </c>
      <c r="E41" s="7">
        <v>63.5</v>
      </c>
    </row>
    <row r="42" spans="1:5" x14ac:dyDescent="0.15">
      <c r="A42" s="6">
        <v>38</v>
      </c>
      <c r="B42" s="7">
        <v>27.5</v>
      </c>
      <c r="C42" s="9">
        <v>196.75</v>
      </c>
      <c r="D42" s="7">
        <v>98.8</v>
      </c>
      <c r="E42" s="7">
        <v>66</v>
      </c>
    </row>
    <row r="43" spans="1:5" x14ac:dyDescent="0.15">
      <c r="A43" s="6">
        <v>39</v>
      </c>
      <c r="B43" s="7">
        <v>33.799999999999997</v>
      </c>
      <c r="C43" s="9">
        <v>363.15</v>
      </c>
      <c r="D43" s="7">
        <v>148.1</v>
      </c>
      <c r="E43" s="7">
        <v>87.3</v>
      </c>
    </row>
    <row r="44" spans="1:5" x14ac:dyDescent="0.15">
      <c r="A44" s="6">
        <v>40</v>
      </c>
      <c r="B44" s="7">
        <v>31.3</v>
      </c>
      <c r="C44" s="9">
        <v>203</v>
      </c>
      <c r="D44" s="7">
        <v>108.1</v>
      </c>
      <c r="E44" s="7">
        <v>61.3</v>
      </c>
    </row>
    <row r="45" spans="1:5" x14ac:dyDescent="0.15">
      <c r="A45" s="6">
        <v>41</v>
      </c>
      <c r="B45" s="7">
        <v>33.1</v>
      </c>
      <c r="C45" s="9">
        <v>262.75</v>
      </c>
      <c r="D45" s="7">
        <v>126.2</v>
      </c>
      <c r="E45" s="7">
        <v>72.5</v>
      </c>
    </row>
    <row r="46" spans="1:5" x14ac:dyDescent="0.15">
      <c r="A46" s="6">
        <v>42</v>
      </c>
      <c r="B46" s="7">
        <v>31.7</v>
      </c>
      <c r="C46" s="9">
        <v>205</v>
      </c>
      <c r="D46" s="7">
        <v>104.3</v>
      </c>
      <c r="E46" s="7">
        <v>70.599999999999994</v>
      </c>
    </row>
    <row r="47" spans="1:5" x14ac:dyDescent="0.15">
      <c r="A47" s="6">
        <v>43</v>
      </c>
      <c r="B47" s="7">
        <v>30.4</v>
      </c>
      <c r="C47" s="9">
        <v>217</v>
      </c>
      <c r="D47" s="7">
        <v>111.2</v>
      </c>
      <c r="E47" s="7">
        <v>67.7</v>
      </c>
    </row>
    <row r="48" spans="1:5" x14ac:dyDescent="0.15">
      <c r="A48" s="6">
        <v>44</v>
      </c>
      <c r="B48" s="7">
        <v>30.8</v>
      </c>
      <c r="C48" s="9">
        <v>212</v>
      </c>
      <c r="D48" s="7">
        <v>104.3</v>
      </c>
      <c r="E48" s="7">
        <v>65</v>
      </c>
    </row>
    <row r="49" spans="1:5" x14ac:dyDescent="0.15">
      <c r="A49" s="6">
        <v>45</v>
      </c>
      <c r="B49" s="7">
        <v>8.4</v>
      </c>
      <c r="C49" s="9">
        <v>125.25</v>
      </c>
      <c r="D49" s="7">
        <v>76</v>
      </c>
      <c r="E49" s="7">
        <v>50</v>
      </c>
    </row>
    <row r="50" spans="1:5" x14ac:dyDescent="0.15">
      <c r="A50" s="6">
        <v>46</v>
      </c>
      <c r="B50" s="7">
        <v>14.1</v>
      </c>
      <c r="C50" s="9">
        <v>164.25</v>
      </c>
      <c r="D50" s="7">
        <v>81.5</v>
      </c>
      <c r="E50" s="7">
        <v>58.4</v>
      </c>
    </row>
    <row r="51" spans="1:5" x14ac:dyDescent="0.15">
      <c r="A51" s="6">
        <v>47</v>
      </c>
      <c r="B51" s="7">
        <v>11.2</v>
      </c>
      <c r="C51" s="9">
        <v>133.5</v>
      </c>
      <c r="D51" s="7">
        <v>73.7</v>
      </c>
      <c r="E51" s="7">
        <v>53.3</v>
      </c>
    </row>
    <row r="52" spans="1:5" x14ac:dyDescent="0.15">
      <c r="A52" s="6">
        <v>48</v>
      </c>
      <c r="B52" s="7">
        <v>6.4</v>
      </c>
      <c r="C52" s="9">
        <v>148.5</v>
      </c>
      <c r="D52" s="7">
        <v>79.5</v>
      </c>
      <c r="E52" s="7">
        <v>52.7</v>
      </c>
    </row>
    <row r="53" spans="1:5" x14ac:dyDescent="0.15">
      <c r="A53" s="6">
        <v>49</v>
      </c>
      <c r="B53" s="7">
        <v>13.4</v>
      </c>
      <c r="C53" s="9">
        <v>135.75</v>
      </c>
      <c r="D53" s="7">
        <v>83.4</v>
      </c>
      <c r="E53" s="7">
        <v>52</v>
      </c>
    </row>
    <row r="54" spans="1:5" x14ac:dyDescent="0.15">
      <c r="A54" s="11">
        <v>50</v>
      </c>
      <c r="B54" s="12">
        <v>5</v>
      </c>
      <c r="C54" s="133">
        <v>127.5</v>
      </c>
      <c r="D54" s="12">
        <v>70.400000000000006</v>
      </c>
      <c r="E54" s="12">
        <v>50.6</v>
      </c>
    </row>
  </sheetData>
  <mergeCells count="1">
    <mergeCell ref="G6:H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CF903-5214-41A3-A8D4-8E1B8E93542E}">
  <dimension ref="B2:M32"/>
  <sheetViews>
    <sheetView topLeftCell="A24" workbookViewId="0">
      <selection activeCell="C40" sqref="C40"/>
    </sheetView>
  </sheetViews>
  <sheetFormatPr baseColWidth="10" defaultColWidth="8.83203125" defaultRowHeight="13" x14ac:dyDescent="0.15"/>
  <cols>
    <col min="2" max="2" width="19.1640625" bestFit="1" customWidth="1"/>
    <col min="3" max="3" width="20.5" customWidth="1"/>
    <col min="4" max="4" width="20" customWidth="1"/>
  </cols>
  <sheetData>
    <row r="2" spans="2:4" x14ac:dyDescent="0.15">
      <c r="B2" s="148" t="s">
        <v>65</v>
      </c>
    </row>
    <row r="10" spans="2:4" ht="15" x14ac:dyDescent="0.2">
      <c r="B10" t="s">
        <v>66</v>
      </c>
      <c r="C10" s="143" t="s">
        <v>67</v>
      </c>
    </row>
    <row r="12" spans="2:4" x14ac:dyDescent="0.15">
      <c r="B12" t="s">
        <v>68</v>
      </c>
    </row>
    <row r="14" spans="2:4" x14ac:dyDescent="0.15">
      <c r="B14" s="117"/>
      <c r="C14" s="147" t="s">
        <v>29</v>
      </c>
      <c r="D14" s="147" t="s">
        <v>31</v>
      </c>
    </row>
    <row r="15" spans="2:4" x14ac:dyDescent="0.15">
      <c r="B15" t="s">
        <v>36</v>
      </c>
      <c r="C15">
        <v>-59.0021211685116</v>
      </c>
      <c r="D15" s="91">
        <v>6.2495058049340498E-9</v>
      </c>
    </row>
    <row r="16" spans="2:4" x14ac:dyDescent="0.15">
      <c r="B16" s="127" t="s">
        <v>4</v>
      </c>
      <c r="C16">
        <v>-0.277079512184979</v>
      </c>
      <c r="D16" s="91">
        <v>2.4861440930084599E-7</v>
      </c>
    </row>
    <row r="17" spans="2:13" x14ac:dyDescent="0.15">
      <c r="B17" s="127" t="s">
        <v>8</v>
      </c>
      <c r="C17">
        <v>0.95026655021258899</v>
      </c>
      <c r="D17" s="91">
        <v>8.9428514418925698E-13</v>
      </c>
    </row>
    <row r="18" spans="2:13" x14ac:dyDescent="0.15">
      <c r="B18" s="119" t="s">
        <v>10</v>
      </c>
      <c r="C18" s="118">
        <v>0.65142611239366399</v>
      </c>
      <c r="D18" s="118">
        <v>1.0463322971123699E-2</v>
      </c>
    </row>
    <row r="20" spans="2:13" ht="15" x14ac:dyDescent="0.2">
      <c r="B20" t="s">
        <v>66</v>
      </c>
      <c r="C20" s="143" t="s">
        <v>69</v>
      </c>
      <c r="D20" s="143"/>
    </row>
    <row r="22" spans="2:13" x14ac:dyDescent="0.15">
      <c r="B22" t="s">
        <v>70</v>
      </c>
      <c r="C22" s="147" t="s">
        <v>71</v>
      </c>
      <c r="D22" s="147" t="s">
        <v>72</v>
      </c>
    </row>
    <row r="23" spans="2:13" x14ac:dyDescent="0.15">
      <c r="C23" s="149" t="s">
        <v>8</v>
      </c>
      <c r="D23" s="149">
        <v>91.2</v>
      </c>
    </row>
    <row r="24" spans="2:13" x14ac:dyDescent="0.15">
      <c r="C24" s="149" t="s">
        <v>4</v>
      </c>
      <c r="D24" s="149">
        <v>185</v>
      </c>
    </row>
    <row r="25" spans="2:13" x14ac:dyDescent="0.15">
      <c r="C25" s="150" t="s">
        <v>10</v>
      </c>
      <c r="D25" s="150">
        <v>57.9</v>
      </c>
    </row>
    <row r="27" spans="2:13" x14ac:dyDescent="0.15">
      <c r="B27" t="s">
        <v>66</v>
      </c>
      <c r="C27" cm="1">
        <f t="array" ref="C27">Intercept+(AbdomenCoefficient*AbdomenValue)+(WeightCoefficent*WeightValue)+(ThighCoefficient*ThighValue)</f>
        <v>14.120050364248549</v>
      </c>
    </row>
    <row r="29" spans="2:13" ht="28" x14ac:dyDescent="0.15">
      <c r="B29" s="151" t="s">
        <v>73</v>
      </c>
      <c r="C29" s="152">
        <v>0.14099999999999999</v>
      </c>
    </row>
    <row r="32" spans="2:13" x14ac:dyDescent="0.15">
      <c r="G32" s="179"/>
      <c r="H32" s="179"/>
      <c r="I32" s="180"/>
      <c r="J32" s="179"/>
      <c r="K32" s="180"/>
      <c r="L32" s="179"/>
      <c r="M32" s="18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</vt:i4>
      </vt:variant>
    </vt:vector>
  </HeadingPairs>
  <TitlesOfParts>
    <vt:vector size="32" baseType="lpstr">
      <vt:lpstr>Data</vt:lpstr>
      <vt:lpstr>Logic</vt:lpstr>
      <vt:lpstr>Fit</vt:lpstr>
      <vt:lpstr>Parsimony</vt:lpstr>
      <vt:lpstr>Stability</vt:lpstr>
      <vt:lpstr>FWSR Step 1</vt:lpstr>
      <vt:lpstr>FWSR Step 2</vt:lpstr>
      <vt:lpstr>FWSR Step 3</vt:lpstr>
      <vt:lpstr>FWSR Step 4</vt:lpstr>
      <vt:lpstr>BSWR Step 1</vt:lpstr>
      <vt:lpstr>BSWR Step 2</vt:lpstr>
      <vt:lpstr>BSWR Step 3</vt:lpstr>
      <vt:lpstr>BSWR Step 4</vt:lpstr>
      <vt:lpstr>BSWR Step 5</vt:lpstr>
      <vt:lpstr>BSWR Step 6</vt:lpstr>
      <vt:lpstr>IMPR Step 1</vt:lpstr>
      <vt:lpstr>IMPR Step 2</vt:lpstr>
      <vt:lpstr>IMPR Step 3</vt:lpstr>
      <vt:lpstr>IMPR Step 4</vt:lpstr>
      <vt:lpstr>IMPR Step 5</vt:lpstr>
      <vt:lpstr>IMPR Step 6</vt:lpstr>
      <vt:lpstr>Prediction</vt:lpstr>
      <vt:lpstr>AbdomenCoefficient</vt:lpstr>
      <vt:lpstr>AbdomenValue</vt:lpstr>
      <vt:lpstr>Alpha</vt:lpstr>
      <vt:lpstr>Coefficient</vt:lpstr>
      <vt:lpstr>Correlation_Matrix</vt:lpstr>
      <vt:lpstr>Intercept</vt:lpstr>
      <vt:lpstr>ThighCoefficient</vt:lpstr>
      <vt:lpstr>ThighValue</vt:lpstr>
      <vt:lpstr>WeightCoefficent</vt:lpstr>
      <vt:lpstr>WeightValue</vt:lpstr>
    </vt:vector>
  </TitlesOfParts>
  <Manager/>
  <Company>The McGraw-Hill Companies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Body Fat, Age, and Measurements of Men (n = 50, k = 8)</dc:title>
  <dc:subject>Chapter 13 - Exercises</dc:subject>
  <dc:creator>David P. Doane</dc:creator>
  <cp:keywords/>
  <dc:description>Copyright (c) 2020 by McGraw-Hill. This material is intended solely for educational use by purchasers of Doane/Seward 3e. It may not be copied or resold.</dc:description>
  <cp:lastModifiedBy>Chelsea Tanchez</cp:lastModifiedBy>
  <cp:revision/>
  <dcterms:created xsi:type="dcterms:W3CDTF">2005-04-08T23:33:57Z</dcterms:created>
  <dcterms:modified xsi:type="dcterms:W3CDTF">2026-04-05T02:58:10Z</dcterms:modified>
  <cp:category/>
  <cp:contentStatus/>
</cp:coreProperties>
</file>